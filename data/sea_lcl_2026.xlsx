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victoria_silva1_dsv_com/Documents/Downloads/"/>
    </mc:Choice>
  </mc:AlternateContent>
  <xr:revisionPtr revIDLastSave="14" documentId="8_{2E2398AB-41E2-42CE-AB88-070A2F56F76D}" xr6:coauthVersionLast="47" xr6:coauthVersionMax="47" xr10:uidLastSave="{756A4FB7-6DC1-4EFA-B59E-65B4012A5D87}"/>
  <bookViews>
    <workbookView xWindow="28680" yWindow="-120" windowWidth="29040" windowHeight="15840" xr2:uid="{00000000-000D-0000-FFFF-FFFF00000000}"/>
  </bookViews>
  <sheets>
    <sheet name="Raw_Data" sheetId="1" r:id="rId1"/>
    <sheet name="hiddenOps" sheetId="2" state="hidden" r:id="rId2"/>
    <sheet name="SEGUIR PARA PREENCHIMENTO" sheetId="3" state="hidden" r:id="rId3"/>
    <sheet name="CHART - INFO" sheetId="10" state="hidden" r:id="rId4"/>
  </sheets>
  <definedNames>
    <definedName name="_xlnm._FilterDatabase" localSheetId="0" hidden="1">Raw_Data!$A$1:$M$419748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9748" i="1" l="1"/>
  <c r="B419748" i="1"/>
  <c r="C419747" i="1"/>
  <c r="B419747" i="1"/>
  <c r="C419746" i="1"/>
  <c r="B419746" i="1"/>
  <c r="C419745" i="1"/>
  <c r="B419745" i="1"/>
  <c r="C419744" i="1"/>
  <c r="B419744" i="1"/>
  <c r="C419743" i="1"/>
  <c r="B419743" i="1"/>
  <c r="C419742" i="1"/>
  <c r="B419742" i="1"/>
  <c r="C419741" i="1"/>
  <c r="B419741" i="1"/>
  <c r="C419740" i="1"/>
  <c r="B419740" i="1"/>
  <c r="C419739" i="1"/>
  <c r="B419739" i="1"/>
  <c r="C419738" i="1"/>
  <c r="B419738" i="1"/>
  <c r="C419737" i="1"/>
  <c r="B419737" i="1"/>
  <c r="C419736" i="1"/>
  <c r="B419736" i="1"/>
  <c r="C419735" i="1"/>
  <c r="B419735" i="1"/>
  <c r="C419734" i="1"/>
  <c r="B419734" i="1"/>
  <c r="C419733" i="1"/>
  <c r="B419733" i="1"/>
  <c r="C419732" i="1"/>
  <c r="B419732" i="1"/>
  <c r="C419731" i="1"/>
  <c r="B419731" i="1"/>
  <c r="C419730" i="1"/>
  <c r="B419730" i="1"/>
  <c r="C419729" i="1"/>
  <c r="B419729" i="1"/>
  <c r="C419728" i="1"/>
  <c r="B419728" i="1"/>
  <c r="C419727" i="1"/>
  <c r="B419727" i="1"/>
  <c r="C419726" i="1"/>
  <c r="B419726" i="1"/>
  <c r="C419725" i="1"/>
  <c r="B419725" i="1"/>
  <c r="C419724" i="1"/>
  <c r="B419724" i="1"/>
  <c r="C419723" i="1"/>
  <c r="B419723" i="1"/>
  <c r="C419722" i="1"/>
  <c r="B419722" i="1"/>
  <c r="C419721" i="1"/>
  <c r="B419721" i="1"/>
  <c r="C419720" i="1"/>
  <c r="B419720" i="1"/>
  <c r="C419719" i="1"/>
  <c r="B419719" i="1"/>
  <c r="C419718" i="1"/>
  <c r="B419718" i="1"/>
  <c r="C419717" i="1"/>
  <c r="B419717" i="1"/>
  <c r="C419716" i="1"/>
  <c r="B419716" i="1"/>
  <c r="C419715" i="1"/>
  <c r="B419715" i="1"/>
  <c r="C419714" i="1"/>
  <c r="B419714" i="1"/>
  <c r="C419713" i="1"/>
  <c r="B419713" i="1"/>
  <c r="C419712" i="1"/>
  <c r="B419712" i="1"/>
  <c r="C419711" i="1"/>
  <c r="B419711" i="1"/>
  <c r="C419710" i="1"/>
  <c r="B419710" i="1"/>
  <c r="C419709" i="1"/>
  <c r="B419709" i="1"/>
  <c r="C419708" i="1"/>
  <c r="B419708" i="1"/>
  <c r="C419707" i="1"/>
  <c r="B419707" i="1"/>
  <c r="C419706" i="1"/>
  <c r="B419706" i="1"/>
  <c r="C419705" i="1"/>
  <c r="B419705" i="1"/>
  <c r="C419704" i="1"/>
  <c r="B419704" i="1"/>
  <c r="C419703" i="1"/>
  <c r="B419703" i="1"/>
  <c r="C419702" i="1"/>
  <c r="B419702" i="1"/>
  <c r="C419701" i="1"/>
  <c r="B419701" i="1"/>
  <c r="C419700" i="1"/>
  <c r="B419700" i="1"/>
  <c r="C419699" i="1"/>
  <c r="B419699" i="1"/>
  <c r="C419698" i="1"/>
  <c r="B419698" i="1"/>
  <c r="C419697" i="1"/>
  <c r="B419697" i="1"/>
  <c r="C419696" i="1"/>
  <c r="B419696" i="1"/>
  <c r="C419695" i="1"/>
  <c r="B419695" i="1"/>
  <c r="C419694" i="1"/>
  <c r="B419694" i="1"/>
  <c r="C419693" i="1"/>
  <c r="B419693" i="1"/>
  <c r="C419692" i="1"/>
  <c r="B419692" i="1"/>
  <c r="C419691" i="1"/>
  <c r="B419691" i="1"/>
  <c r="C419690" i="1"/>
  <c r="B419690" i="1"/>
  <c r="C419689" i="1"/>
  <c r="B419689" i="1"/>
  <c r="C419688" i="1"/>
  <c r="B419688" i="1"/>
  <c r="C419687" i="1"/>
  <c r="B419687" i="1"/>
  <c r="C419686" i="1"/>
  <c r="B419686" i="1"/>
  <c r="C419685" i="1"/>
  <c r="B419685" i="1"/>
  <c r="C419684" i="1"/>
  <c r="B419684" i="1"/>
  <c r="C419683" i="1"/>
  <c r="B419683" i="1"/>
  <c r="C419682" i="1"/>
  <c r="B419682" i="1"/>
  <c r="C419681" i="1"/>
  <c r="B419681" i="1"/>
  <c r="C419680" i="1"/>
  <c r="B419680" i="1"/>
  <c r="C419679" i="1"/>
  <c r="B419679" i="1"/>
  <c r="C419678" i="1"/>
  <c r="B419678" i="1"/>
  <c r="C419677" i="1"/>
  <c r="B419677" i="1"/>
  <c r="C419676" i="1"/>
  <c r="B419676" i="1"/>
  <c r="C419675" i="1"/>
  <c r="B419675" i="1"/>
  <c r="C419674" i="1"/>
  <c r="B419674" i="1"/>
  <c r="C419673" i="1"/>
  <c r="B419673" i="1"/>
  <c r="C419672" i="1"/>
  <c r="B419672" i="1"/>
  <c r="C419671" i="1"/>
  <c r="B419671" i="1"/>
  <c r="C419670" i="1"/>
  <c r="B419670" i="1"/>
  <c r="C419669" i="1"/>
  <c r="B419669" i="1"/>
  <c r="C419668" i="1"/>
  <c r="B419668" i="1"/>
  <c r="C419667" i="1"/>
  <c r="B419667" i="1"/>
  <c r="C419666" i="1"/>
  <c r="B419666" i="1"/>
  <c r="C419665" i="1"/>
  <c r="B419665" i="1"/>
  <c r="C419664" i="1"/>
  <c r="B419664" i="1"/>
  <c r="C419663" i="1"/>
  <c r="B419663" i="1"/>
  <c r="C419662" i="1"/>
  <c r="B419662" i="1"/>
  <c r="C419661" i="1"/>
  <c r="B419661" i="1"/>
  <c r="C419660" i="1"/>
  <c r="B419660" i="1"/>
  <c r="C419659" i="1"/>
  <c r="B419659" i="1"/>
  <c r="C419658" i="1"/>
  <c r="B419658" i="1"/>
  <c r="C419657" i="1"/>
  <c r="B419657" i="1"/>
  <c r="C419656" i="1"/>
  <c r="B419656" i="1"/>
  <c r="C419655" i="1"/>
  <c r="B419655" i="1"/>
  <c r="C419654" i="1"/>
  <c r="B419654" i="1"/>
  <c r="C419653" i="1"/>
  <c r="B419653" i="1"/>
  <c r="C419652" i="1"/>
  <c r="B419652" i="1"/>
  <c r="C419651" i="1"/>
  <c r="B419651" i="1"/>
  <c r="C419650" i="1"/>
  <c r="B419650" i="1"/>
  <c r="C419649" i="1"/>
  <c r="B419649" i="1"/>
  <c r="C419648" i="1"/>
  <c r="B419648" i="1"/>
  <c r="C419647" i="1"/>
  <c r="B419647" i="1"/>
  <c r="C419646" i="1"/>
  <c r="B419646" i="1"/>
  <c r="C419645" i="1"/>
  <c r="B419645" i="1"/>
  <c r="C419644" i="1"/>
  <c r="B419644" i="1"/>
  <c r="C419643" i="1"/>
  <c r="B419643" i="1"/>
  <c r="C419642" i="1"/>
  <c r="B419642" i="1"/>
  <c r="C419641" i="1"/>
  <c r="B419641" i="1"/>
  <c r="C419640" i="1"/>
  <c r="B419640" i="1"/>
  <c r="C419639" i="1"/>
  <c r="B419639" i="1"/>
  <c r="C419638" i="1"/>
  <c r="B419638" i="1"/>
  <c r="C419637" i="1"/>
  <c r="B419637" i="1"/>
  <c r="C419636" i="1"/>
  <c r="B419636" i="1"/>
  <c r="C419635" i="1"/>
  <c r="B419635" i="1"/>
  <c r="C419634" i="1"/>
  <c r="B419634" i="1"/>
  <c r="C419633" i="1"/>
  <c r="B419633" i="1"/>
  <c r="C419632" i="1"/>
  <c r="B419632" i="1"/>
  <c r="C419631" i="1"/>
  <c r="B419631" i="1"/>
  <c r="C419630" i="1"/>
  <c r="B419630" i="1"/>
  <c r="C419629" i="1"/>
  <c r="B419629" i="1"/>
  <c r="C419628" i="1"/>
  <c r="B419628" i="1"/>
  <c r="C419627" i="1"/>
  <c r="B419627" i="1"/>
  <c r="C419626" i="1"/>
  <c r="B419626" i="1"/>
  <c r="C419625" i="1"/>
  <c r="B419625" i="1"/>
  <c r="C419624" i="1"/>
  <c r="B419624" i="1"/>
  <c r="C419623" i="1"/>
  <c r="B419623" i="1"/>
  <c r="C419622" i="1"/>
  <c r="B419622" i="1"/>
  <c r="C419621" i="1"/>
  <c r="B419621" i="1"/>
  <c r="C419620" i="1"/>
  <c r="B419620" i="1"/>
  <c r="C419619" i="1"/>
  <c r="B419619" i="1"/>
  <c r="C419618" i="1"/>
  <c r="B419618" i="1"/>
  <c r="C419617" i="1"/>
  <c r="B419617" i="1"/>
  <c r="C419616" i="1"/>
  <c r="B419616" i="1"/>
  <c r="C419615" i="1"/>
  <c r="B419615" i="1"/>
  <c r="C419614" i="1"/>
  <c r="B419614" i="1"/>
  <c r="C419613" i="1"/>
  <c r="B419613" i="1"/>
  <c r="C419612" i="1"/>
  <c r="B419612" i="1"/>
  <c r="C419611" i="1"/>
  <c r="B419611" i="1"/>
  <c r="C419610" i="1"/>
  <c r="B419610" i="1"/>
  <c r="C419609" i="1"/>
  <c r="B419609" i="1"/>
  <c r="C419608" i="1"/>
  <c r="B419608" i="1"/>
  <c r="C419607" i="1"/>
  <c r="B419607" i="1"/>
  <c r="C419606" i="1"/>
  <c r="B419606" i="1"/>
  <c r="C419605" i="1"/>
  <c r="B419605" i="1"/>
  <c r="C419604" i="1"/>
  <c r="B419604" i="1"/>
  <c r="C419603" i="1"/>
  <c r="B419603" i="1"/>
  <c r="C419602" i="1"/>
  <c r="B419602" i="1"/>
  <c r="C419601" i="1"/>
  <c r="B419601" i="1"/>
  <c r="C419600" i="1"/>
  <c r="B419600" i="1"/>
  <c r="C419599" i="1" l="1"/>
  <c r="B419599" i="1"/>
  <c r="C419598" i="1"/>
  <c r="B419598" i="1"/>
  <c r="C419597" i="1"/>
  <c r="B419597" i="1"/>
  <c r="C419596" i="1"/>
  <c r="B419596" i="1"/>
  <c r="C419595" i="1"/>
  <c r="B419595" i="1"/>
  <c r="C419594" i="1"/>
  <c r="B419594" i="1"/>
  <c r="C419593" i="1"/>
  <c r="B419593" i="1"/>
  <c r="C419592" i="1"/>
  <c r="B419592" i="1"/>
  <c r="C419591" i="1"/>
  <c r="B419591" i="1"/>
  <c r="C419590" i="1"/>
  <c r="B419590" i="1"/>
  <c r="C419589" i="1"/>
  <c r="B419589" i="1"/>
  <c r="C419588" i="1"/>
  <c r="B419588" i="1"/>
  <c r="C419587" i="1"/>
  <c r="B419587" i="1"/>
  <c r="C419586" i="1"/>
  <c r="B419586" i="1"/>
  <c r="C419585" i="1"/>
  <c r="B419585" i="1"/>
  <c r="C419584" i="1"/>
  <c r="B419584" i="1"/>
  <c r="C419583" i="1"/>
  <c r="B419583" i="1"/>
  <c r="C419582" i="1"/>
  <c r="B419582" i="1"/>
  <c r="C419581" i="1"/>
  <c r="B419581" i="1"/>
  <c r="C419580" i="1"/>
  <c r="B419580" i="1"/>
  <c r="C419579" i="1"/>
  <c r="B419579" i="1"/>
  <c r="C419578" i="1"/>
  <c r="B419578" i="1"/>
  <c r="C419577" i="1"/>
  <c r="B419577" i="1"/>
  <c r="C419576" i="1"/>
  <c r="B419576" i="1"/>
  <c r="C419575" i="1"/>
  <c r="B419575" i="1"/>
  <c r="C419574" i="1"/>
  <c r="B419574" i="1"/>
  <c r="C419573" i="1"/>
  <c r="B419573" i="1"/>
  <c r="C419572" i="1"/>
  <c r="B419572" i="1"/>
  <c r="C419571" i="1"/>
  <c r="B419571" i="1"/>
  <c r="C419570" i="1"/>
  <c r="B419570" i="1"/>
  <c r="C419569" i="1"/>
  <c r="B419569" i="1"/>
  <c r="C419568" i="1"/>
  <c r="B419568" i="1"/>
  <c r="C419567" i="1"/>
  <c r="B419567" i="1"/>
  <c r="C419566" i="1"/>
  <c r="B419566" i="1"/>
  <c r="C419565" i="1"/>
  <c r="B419565" i="1"/>
  <c r="C419564" i="1"/>
  <c r="B419564" i="1"/>
  <c r="C419563" i="1"/>
  <c r="B419563" i="1"/>
  <c r="C419562" i="1"/>
  <c r="B419562" i="1"/>
  <c r="C419561" i="1"/>
  <c r="B419561" i="1"/>
  <c r="C419560" i="1"/>
  <c r="B419560" i="1"/>
  <c r="C419559" i="1"/>
  <c r="B419559" i="1"/>
  <c r="C419558" i="1"/>
  <c r="B419558" i="1"/>
  <c r="C419557" i="1"/>
  <c r="B419557" i="1"/>
  <c r="C419556" i="1"/>
  <c r="B419556" i="1"/>
  <c r="C419555" i="1"/>
  <c r="B419555" i="1"/>
  <c r="C419554" i="1"/>
  <c r="B419554" i="1"/>
  <c r="C419553" i="1"/>
  <c r="B419553" i="1"/>
  <c r="C419552" i="1"/>
  <c r="B419552" i="1"/>
  <c r="C419551" i="1"/>
  <c r="B419551" i="1"/>
  <c r="C419550" i="1"/>
  <c r="B419550" i="1"/>
  <c r="C419549" i="1"/>
  <c r="B419549" i="1"/>
  <c r="C419548" i="1"/>
  <c r="B419548" i="1"/>
  <c r="C419547" i="1"/>
  <c r="B419547" i="1"/>
  <c r="C419546" i="1"/>
  <c r="B419546" i="1"/>
  <c r="C419545" i="1"/>
  <c r="B419545" i="1"/>
  <c r="C419544" i="1"/>
  <c r="B419544" i="1"/>
  <c r="C419543" i="1"/>
  <c r="B419543" i="1"/>
  <c r="C419542" i="1"/>
  <c r="B419542" i="1"/>
  <c r="C419541" i="1"/>
  <c r="B419541" i="1"/>
  <c r="C419540" i="1"/>
  <c r="B419540" i="1"/>
  <c r="C419539" i="1"/>
  <c r="B419539" i="1"/>
  <c r="C419538" i="1"/>
  <c r="B419538" i="1"/>
  <c r="C419537" i="1"/>
  <c r="B419537" i="1"/>
  <c r="C419536" i="1"/>
  <c r="B419536" i="1"/>
  <c r="C419535" i="1"/>
  <c r="B419535" i="1"/>
  <c r="C419534" i="1"/>
  <c r="B419534" i="1"/>
  <c r="C419533" i="1"/>
  <c r="B419533" i="1"/>
  <c r="C419532" i="1"/>
  <c r="B419532" i="1"/>
  <c r="C419531" i="1"/>
  <c r="B419531" i="1"/>
  <c r="C419530" i="1"/>
  <c r="B419530" i="1"/>
  <c r="C419529" i="1"/>
  <c r="B419529" i="1"/>
  <c r="C419528" i="1"/>
  <c r="B419528" i="1"/>
  <c r="C419527" i="1"/>
  <c r="B419527" i="1"/>
  <c r="C419526" i="1"/>
  <c r="B419526" i="1"/>
  <c r="C419525" i="1"/>
  <c r="B419525" i="1"/>
  <c r="C419524" i="1"/>
  <c r="B419524" i="1"/>
  <c r="C419523" i="1"/>
  <c r="B419523" i="1"/>
  <c r="C419522" i="1"/>
  <c r="B419522" i="1"/>
  <c r="C419521" i="1"/>
  <c r="B419521" i="1"/>
  <c r="C419520" i="1"/>
  <c r="B419520" i="1"/>
  <c r="C419519" i="1"/>
  <c r="B419519" i="1"/>
  <c r="C419518" i="1"/>
  <c r="B419518" i="1"/>
  <c r="C419517" i="1"/>
  <c r="B419517" i="1"/>
  <c r="C419516" i="1"/>
  <c r="B419516" i="1"/>
  <c r="C419515" i="1"/>
  <c r="B419515" i="1"/>
  <c r="C419514" i="1"/>
  <c r="B419514" i="1"/>
  <c r="C419513" i="1"/>
  <c r="B419513" i="1"/>
  <c r="C419512" i="1"/>
  <c r="B419512" i="1"/>
  <c r="C419511" i="1"/>
  <c r="B419511" i="1"/>
  <c r="C419510" i="1"/>
  <c r="B419510" i="1"/>
  <c r="C419509" i="1"/>
  <c r="B419509" i="1"/>
  <c r="C419508" i="1"/>
  <c r="B419508" i="1"/>
  <c r="C419507" i="1"/>
  <c r="B419507" i="1"/>
  <c r="C419506" i="1"/>
  <c r="B419506" i="1"/>
  <c r="C419505" i="1"/>
  <c r="B419505" i="1"/>
  <c r="C419504" i="1"/>
  <c r="B419504" i="1"/>
  <c r="C419503" i="1"/>
  <c r="B419503" i="1"/>
  <c r="C419502" i="1"/>
  <c r="B419502" i="1"/>
  <c r="C419501" i="1"/>
  <c r="B419501" i="1"/>
  <c r="C419500" i="1"/>
  <c r="B419500" i="1"/>
  <c r="C419499" i="1"/>
  <c r="B419499" i="1"/>
  <c r="C419498" i="1"/>
  <c r="B419498" i="1"/>
  <c r="C419497" i="1"/>
  <c r="B419497" i="1"/>
  <c r="C419496" i="1"/>
  <c r="B419496" i="1"/>
  <c r="C419495" i="1"/>
  <c r="B419495" i="1"/>
  <c r="C419494" i="1"/>
  <c r="B419494" i="1"/>
  <c r="C419493" i="1"/>
  <c r="B419493" i="1"/>
  <c r="C419492" i="1"/>
  <c r="B419492" i="1"/>
  <c r="C419491" i="1"/>
  <c r="B419491" i="1"/>
  <c r="C419490" i="1"/>
  <c r="B419490" i="1"/>
  <c r="C419489" i="1"/>
  <c r="B419489" i="1"/>
  <c r="C419488" i="1"/>
  <c r="B419488" i="1"/>
  <c r="C419487" i="1"/>
  <c r="B419487" i="1"/>
  <c r="C419486" i="1"/>
  <c r="B419486" i="1"/>
  <c r="C419483" i="1"/>
  <c r="B419483" i="1"/>
  <c r="C419482" i="1"/>
  <c r="B419482" i="1"/>
  <c r="C419481" i="1"/>
  <c r="B419481" i="1"/>
  <c r="C419480" i="1"/>
  <c r="B419480" i="1"/>
  <c r="C419479" i="1"/>
  <c r="B419479" i="1"/>
  <c r="C419478" i="1"/>
  <c r="B419478" i="1"/>
  <c r="C419477" i="1"/>
  <c r="B419477" i="1"/>
  <c r="C419476" i="1"/>
  <c r="B419476" i="1"/>
  <c r="C419473" i="1"/>
  <c r="B419473" i="1"/>
  <c r="C419468" i="1"/>
  <c r="B419468" i="1"/>
  <c r="C419467" i="1"/>
  <c r="B419467" i="1"/>
  <c r="C419466" i="1"/>
  <c r="B419466" i="1"/>
  <c r="C419465" i="1"/>
  <c r="B419465" i="1"/>
  <c r="C419464" i="1"/>
  <c r="B419464" i="1"/>
  <c r="C419463" i="1"/>
  <c r="B419463" i="1"/>
  <c r="C419458" i="1"/>
  <c r="B419458" i="1"/>
  <c r="C419457" i="1"/>
  <c r="B419457" i="1"/>
  <c r="C419453" i="1"/>
  <c r="B419453" i="1"/>
  <c r="C419446" i="1"/>
  <c r="B419446" i="1"/>
  <c r="C419445" i="1"/>
  <c r="B419445" i="1"/>
  <c r="C419443" i="1"/>
  <c r="B419443" i="1"/>
  <c r="C419441" i="1"/>
  <c r="B419441" i="1"/>
  <c r="C419440" i="1"/>
  <c r="B419440" i="1"/>
  <c r="C419439" i="1"/>
  <c r="B419439" i="1"/>
  <c r="C419436" i="1"/>
  <c r="B419436" i="1"/>
  <c r="C419435" i="1"/>
  <c r="B419435" i="1"/>
  <c r="C419434" i="1"/>
  <c r="B419434" i="1"/>
  <c r="C419433" i="1"/>
  <c r="B419433" i="1"/>
  <c r="C419430" i="1"/>
  <c r="B419430" i="1"/>
  <c r="C419429" i="1"/>
  <c r="B419429" i="1"/>
  <c r="C419426" i="1"/>
  <c r="B419426" i="1"/>
  <c r="C419422" i="1"/>
  <c r="B419422" i="1"/>
  <c r="C419421" i="1"/>
  <c r="B419421" i="1"/>
  <c r="C419420" i="1"/>
  <c r="B419420" i="1"/>
  <c r="C419416" i="1"/>
  <c r="B419416" i="1"/>
  <c r="C419415" i="1"/>
  <c r="B419415" i="1"/>
  <c r="C419405" i="1"/>
  <c r="B419405" i="1"/>
  <c r="C419404" i="1"/>
  <c r="B419404" i="1"/>
  <c r="C419403" i="1"/>
  <c r="B419403" i="1"/>
  <c r="C419402" i="1"/>
  <c r="B419402" i="1"/>
  <c r="C419401" i="1"/>
  <c r="B419401" i="1"/>
  <c r="C419400" i="1"/>
  <c r="B419400" i="1"/>
  <c r="C419398" i="1"/>
  <c r="B419398" i="1"/>
  <c r="C419397" i="1"/>
  <c r="B419397" i="1"/>
  <c r="C419396" i="1"/>
  <c r="B419396" i="1"/>
  <c r="C419395" i="1"/>
  <c r="B419395" i="1"/>
  <c r="C419394" i="1"/>
  <c r="B419394" i="1"/>
  <c r="C419383" i="1"/>
  <c r="B419383" i="1"/>
  <c r="C419382" i="1"/>
  <c r="B419382" i="1"/>
  <c r="C419381" i="1"/>
  <c r="B419381" i="1"/>
  <c r="C419375" i="1"/>
  <c r="B419375" i="1"/>
  <c r="C419374" i="1"/>
  <c r="B419374" i="1"/>
  <c r="C419373" i="1"/>
  <c r="B419373" i="1"/>
  <c r="C419371" i="1"/>
  <c r="B419371" i="1"/>
  <c r="C419370" i="1"/>
  <c r="B419370" i="1"/>
  <c r="C419369" i="1"/>
  <c r="B419369" i="1"/>
  <c r="C419368" i="1"/>
  <c r="B419368" i="1"/>
  <c r="C419367" i="1"/>
  <c r="B419367" i="1"/>
  <c r="C419366" i="1"/>
  <c r="B419366" i="1"/>
  <c r="C419363" i="1"/>
  <c r="B419363" i="1"/>
  <c r="C419362" i="1"/>
  <c r="B419362" i="1"/>
  <c r="C419358" i="1"/>
  <c r="B419358" i="1"/>
  <c r="C419356" i="1"/>
  <c r="B419356" i="1"/>
  <c r="C419355" i="1"/>
  <c r="B419355" i="1"/>
  <c r="C419354" i="1"/>
  <c r="B419354" i="1"/>
  <c r="C419353" i="1"/>
  <c r="B419353" i="1"/>
  <c r="C419349" i="1"/>
  <c r="B419349" i="1"/>
  <c r="C419347" i="1"/>
  <c r="B419347" i="1"/>
  <c r="C419346" i="1"/>
  <c r="B419346" i="1"/>
  <c r="C419345" i="1"/>
  <c r="B419345" i="1"/>
  <c r="C419344" i="1"/>
  <c r="B419344" i="1"/>
  <c r="C419343" i="1"/>
  <c r="B419343" i="1"/>
  <c r="C419342" i="1"/>
  <c r="B419342" i="1"/>
  <c r="C419341" i="1"/>
  <c r="B419341" i="1"/>
  <c r="C419340" i="1"/>
  <c r="B419340" i="1"/>
  <c r="C419339" i="1"/>
  <c r="B419339" i="1"/>
  <c r="C419338" i="1"/>
  <c r="B419338" i="1"/>
  <c r="C419337" i="1"/>
  <c r="B419337" i="1"/>
  <c r="C419336" i="1"/>
  <c r="B419336" i="1"/>
  <c r="C419335" i="1"/>
  <c r="B419335" i="1"/>
  <c r="C419334" i="1"/>
  <c r="B419334" i="1"/>
  <c r="C419333" i="1"/>
  <c r="B419333" i="1"/>
  <c r="C419332" i="1"/>
  <c r="B419332" i="1"/>
  <c r="C419330" i="1"/>
  <c r="B419330" i="1"/>
  <c r="C419329" i="1"/>
  <c r="B419329" i="1"/>
  <c r="C419328" i="1"/>
  <c r="B419328" i="1"/>
  <c r="C419327" i="1"/>
  <c r="B419327" i="1"/>
  <c r="C419326" i="1"/>
  <c r="B419326" i="1"/>
  <c r="C419325" i="1"/>
  <c r="B419325" i="1"/>
  <c r="C419323" i="1"/>
  <c r="B419323" i="1"/>
  <c r="C419321" i="1"/>
  <c r="B419321" i="1"/>
  <c r="C419320" i="1"/>
  <c r="B419320" i="1"/>
  <c r="C419319" i="1"/>
  <c r="B419319" i="1"/>
  <c r="C419318" i="1"/>
  <c r="B419318" i="1"/>
  <c r="C419317" i="1"/>
  <c r="B419317" i="1"/>
  <c r="C419316" i="1"/>
  <c r="B419316" i="1"/>
  <c r="C419315" i="1"/>
  <c r="B419315" i="1"/>
  <c r="C419314" i="1"/>
  <c r="B419314" i="1"/>
  <c r="C419308" i="1"/>
  <c r="B419308" i="1"/>
  <c r="C419305" i="1"/>
  <c r="B419305" i="1"/>
  <c r="C419304" i="1"/>
  <c r="B419304" i="1"/>
  <c r="C419301" i="1"/>
  <c r="B419301" i="1"/>
  <c r="C419300" i="1"/>
  <c r="B419300" i="1"/>
  <c r="C419299" i="1"/>
  <c r="B419299" i="1"/>
  <c r="C419298" i="1"/>
  <c r="B419298" i="1"/>
  <c r="C419297" i="1"/>
  <c r="B419297" i="1"/>
  <c r="C419296" i="1"/>
  <c r="B419296" i="1"/>
  <c r="C419295" i="1"/>
  <c r="B419295" i="1"/>
  <c r="C419293" i="1"/>
  <c r="B419293" i="1"/>
  <c r="C419292" i="1"/>
  <c r="B419292" i="1"/>
  <c r="C419291" i="1"/>
  <c r="B419291" i="1"/>
  <c r="C419290" i="1"/>
  <c r="B419290" i="1"/>
  <c r="C419289" i="1"/>
  <c r="B419289" i="1"/>
  <c r="C419288" i="1"/>
  <c r="B419288" i="1"/>
  <c r="C419287" i="1"/>
  <c r="B419287" i="1"/>
  <c r="C419286" i="1"/>
  <c r="B419286" i="1"/>
  <c r="C419285" i="1"/>
  <c r="B419285" i="1"/>
  <c r="C419284" i="1"/>
  <c r="B419284" i="1"/>
  <c r="C419283" i="1"/>
  <c r="B419283" i="1"/>
  <c r="C419282" i="1"/>
  <c r="B419282" i="1"/>
  <c r="C419281" i="1"/>
  <c r="B419281" i="1"/>
  <c r="C419184" i="1"/>
  <c r="B419184" i="1"/>
  <c r="C419183" i="1"/>
  <c r="B419183" i="1"/>
  <c r="C419182" i="1"/>
  <c r="B419182" i="1"/>
  <c r="C419181" i="1"/>
  <c r="B419181" i="1"/>
  <c r="C419168" i="1"/>
  <c r="B419168" i="1"/>
  <c r="C419166" i="1"/>
  <c r="B419166" i="1"/>
  <c r="C419165" i="1"/>
  <c r="B419165" i="1"/>
  <c r="C419164" i="1"/>
  <c r="B419164" i="1"/>
  <c r="C419158" i="1"/>
  <c r="B419158" i="1"/>
  <c r="C419157" i="1"/>
  <c r="B419157" i="1"/>
  <c r="C419156" i="1"/>
  <c r="B419156" i="1"/>
  <c r="C419151" i="1"/>
  <c r="B419151" i="1"/>
  <c r="C419150" i="1"/>
  <c r="B419150" i="1"/>
  <c r="C419149" i="1"/>
  <c r="B419149" i="1"/>
  <c r="C419148" i="1"/>
  <c r="B419148" i="1"/>
  <c r="C419144" i="1"/>
  <c r="B419144" i="1"/>
  <c r="C419141" i="1"/>
  <c r="B419141" i="1"/>
  <c r="C419140" i="1"/>
  <c r="B419140" i="1"/>
  <c r="C419138" i="1"/>
  <c r="B419138" i="1"/>
  <c r="C419137" i="1"/>
  <c r="B419137" i="1"/>
  <c r="C419136" i="1"/>
  <c r="B419136" i="1"/>
  <c r="C419133" i="1"/>
  <c r="B419133" i="1"/>
  <c r="C419132" i="1"/>
  <c r="B419132" i="1"/>
  <c r="C419129" i="1"/>
  <c r="B419129" i="1"/>
  <c r="C419128" i="1"/>
  <c r="B419128" i="1"/>
  <c r="C419127" i="1"/>
  <c r="B419127" i="1"/>
  <c r="C419126" i="1"/>
  <c r="B419126" i="1"/>
  <c r="C419125" i="1"/>
  <c r="B419125" i="1"/>
  <c r="C419124" i="1"/>
  <c r="B419124" i="1"/>
  <c r="C419123" i="1"/>
  <c r="B419123" i="1"/>
  <c r="C419121" i="1"/>
  <c r="B419121" i="1"/>
  <c r="C419120" i="1"/>
  <c r="B419120" i="1"/>
  <c r="C419119" i="1"/>
  <c r="B419119" i="1"/>
  <c r="C419118" i="1"/>
  <c r="B419118" i="1"/>
  <c r="C419117" i="1"/>
  <c r="B419117" i="1"/>
  <c r="C419116" i="1"/>
  <c r="B419116" i="1"/>
  <c r="C419112" i="1"/>
  <c r="B419112" i="1"/>
  <c r="C419110" i="1"/>
  <c r="B419110" i="1"/>
  <c r="C419109" i="1"/>
  <c r="B419109" i="1"/>
  <c r="C419106" i="1"/>
  <c r="B419106" i="1"/>
  <c r="C419105" i="1"/>
  <c r="B419105" i="1"/>
  <c r="C419104" i="1"/>
  <c r="B419104" i="1"/>
  <c r="C419103" i="1"/>
  <c r="B419103" i="1"/>
  <c r="C419101" i="1"/>
  <c r="B419101" i="1"/>
  <c r="C419093" i="1"/>
  <c r="B419093" i="1"/>
  <c r="C419092" i="1"/>
  <c r="B419092" i="1"/>
  <c r="C419091" i="1"/>
  <c r="B419091" i="1"/>
  <c r="C419090" i="1"/>
  <c r="B419090" i="1"/>
  <c r="C419089" i="1"/>
  <c r="B419089" i="1"/>
  <c r="C419088" i="1"/>
  <c r="B419088" i="1"/>
  <c r="C419087" i="1"/>
  <c r="B419087" i="1"/>
  <c r="C419086" i="1"/>
  <c r="B419086" i="1"/>
  <c r="C419085" i="1"/>
  <c r="B419085" i="1"/>
  <c r="C419084" i="1"/>
  <c r="B419084" i="1"/>
  <c r="C419083" i="1"/>
  <c r="B419083" i="1"/>
  <c r="C419082" i="1"/>
  <c r="B419082" i="1"/>
  <c r="C419081" i="1"/>
  <c r="B419081" i="1"/>
  <c r="C419080" i="1"/>
  <c r="B419080" i="1"/>
  <c r="C419076" i="1"/>
  <c r="B419076" i="1"/>
  <c r="C419075" i="1"/>
  <c r="B419075" i="1"/>
  <c r="C419073" i="1"/>
  <c r="B419073" i="1"/>
  <c r="C419072" i="1"/>
  <c r="B419072" i="1"/>
  <c r="C419071" i="1"/>
  <c r="B419071" i="1"/>
  <c r="C419070" i="1"/>
  <c r="B419070" i="1"/>
  <c r="C419067" i="1"/>
  <c r="B419067" i="1"/>
  <c r="C419066" i="1"/>
  <c r="B419066" i="1"/>
  <c r="C419065" i="1"/>
  <c r="B419065" i="1"/>
  <c r="C419064" i="1"/>
  <c r="B419064" i="1"/>
  <c r="C419062" i="1"/>
  <c r="B419062" i="1"/>
  <c r="C419061" i="1"/>
  <c r="B419061" i="1"/>
  <c r="C419060" i="1"/>
  <c r="B419060" i="1"/>
  <c r="C419059" i="1"/>
  <c r="B419059" i="1"/>
  <c r="C419058" i="1"/>
  <c r="B419058" i="1"/>
  <c r="C419053" i="1"/>
  <c r="B419053" i="1"/>
  <c r="C419052" i="1"/>
  <c r="B419052" i="1"/>
  <c r="C419051" i="1"/>
  <c r="B419051" i="1"/>
  <c r="C419050" i="1"/>
  <c r="B419050" i="1"/>
  <c r="C419049" i="1"/>
  <c r="B419049" i="1"/>
  <c r="C419046" i="1"/>
  <c r="B419046" i="1"/>
  <c r="C419045" i="1"/>
  <c r="B419045" i="1"/>
  <c r="C419044" i="1"/>
  <c r="B419044" i="1"/>
  <c r="C419043" i="1"/>
  <c r="B419043" i="1"/>
  <c r="C419042" i="1"/>
  <c r="B419042" i="1"/>
  <c r="C419041" i="1"/>
  <c r="B419041" i="1"/>
  <c r="C419040" i="1"/>
  <c r="B419040" i="1"/>
  <c r="C419035" i="1"/>
  <c r="B419035" i="1"/>
  <c r="C419030" i="1"/>
  <c r="B419030" i="1"/>
  <c r="C419029" i="1"/>
  <c r="B419029" i="1"/>
  <c r="C419028" i="1"/>
  <c r="B419028" i="1"/>
  <c r="C419027" i="1"/>
  <c r="B419027" i="1"/>
  <c r="C419026" i="1"/>
  <c r="B419026" i="1"/>
  <c r="C419025" i="1"/>
  <c r="B419025" i="1"/>
  <c r="C419024" i="1"/>
  <c r="B419024" i="1"/>
  <c r="C419023" i="1"/>
  <c r="B419023" i="1"/>
  <c r="C419022" i="1"/>
  <c r="B419022" i="1"/>
  <c r="C419020" i="1"/>
  <c r="B419020" i="1"/>
  <c r="C419019" i="1"/>
  <c r="B419019" i="1"/>
  <c r="C419015" i="1"/>
  <c r="B419015" i="1"/>
  <c r="C419014" i="1"/>
  <c r="B419014" i="1"/>
  <c r="C419013" i="1"/>
  <c r="B419013" i="1"/>
  <c r="C419012" i="1"/>
  <c r="B419012" i="1"/>
  <c r="C419011" i="1"/>
  <c r="B419011" i="1"/>
  <c r="C419007" i="1"/>
  <c r="B419007" i="1"/>
  <c r="C419006" i="1"/>
  <c r="B419006" i="1"/>
  <c r="C419004" i="1"/>
  <c r="B419004" i="1"/>
  <c r="C419003" i="1"/>
  <c r="B419003" i="1"/>
  <c r="C419002" i="1"/>
  <c r="B419002" i="1"/>
  <c r="C419001" i="1"/>
  <c r="B419001" i="1"/>
  <c r="C419000" i="1"/>
  <c r="B419000" i="1"/>
  <c r="C418999" i="1"/>
  <c r="B418999" i="1"/>
  <c r="C418998" i="1"/>
  <c r="B418998" i="1"/>
  <c r="C418997" i="1"/>
  <c r="B418997" i="1"/>
  <c r="C418993" i="1"/>
  <c r="B418993" i="1"/>
  <c r="C418991" i="1"/>
  <c r="B418991" i="1"/>
  <c r="C418990" i="1"/>
  <c r="B418990" i="1"/>
  <c r="C418988" i="1"/>
  <c r="B418988" i="1"/>
  <c r="C418987" i="1"/>
  <c r="B418987" i="1"/>
  <c r="C418986" i="1"/>
  <c r="B418986" i="1"/>
  <c r="C418985" i="1"/>
  <c r="B418985" i="1"/>
  <c r="C418978" i="1"/>
  <c r="B418978" i="1"/>
  <c r="C418977" i="1"/>
  <c r="B418977" i="1"/>
  <c r="C418976" i="1"/>
  <c r="B418976" i="1"/>
  <c r="C418975" i="1"/>
  <c r="B418975" i="1"/>
  <c r="C418974" i="1"/>
  <c r="B418974" i="1"/>
  <c r="C418973" i="1"/>
  <c r="B418973" i="1"/>
  <c r="C418972" i="1"/>
  <c r="B418972" i="1"/>
  <c r="C418971" i="1"/>
  <c r="B418971" i="1"/>
  <c r="C418970" i="1"/>
  <c r="B418970" i="1"/>
  <c r="C418965" i="1"/>
  <c r="B418965" i="1"/>
  <c r="C418964" i="1"/>
  <c r="B418964" i="1"/>
  <c r="C418963" i="1"/>
  <c r="B418963" i="1"/>
  <c r="C418962" i="1"/>
  <c r="B418962" i="1"/>
  <c r="C418961" i="1"/>
  <c r="B418961" i="1"/>
  <c r="C418960" i="1"/>
  <c r="B418960" i="1"/>
  <c r="C418959" i="1"/>
  <c r="B418959" i="1"/>
  <c r="C418958" i="1"/>
  <c r="B418958" i="1"/>
  <c r="C418957" i="1"/>
  <c r="B418957" i="1"/>
  <c r="C418956" i="1"/>
  <c r="B418956" i="1"/>
  <c r="C418955" i="1"/>
  <c r="B418955" i="1"/>
  <c r="C418954" i="1"/>
  <c r="B418954" i="1"/>
  <c r="C418953" i="1"/>
  <c r="B418953" i="1"/>
  <c r="C418952" i="1"/>
  <c r="B418952" i="1"/>
  <c r="C418951" i="1"/>
  <c r="B418951" i="1"/>
  <c r="C418950" i="1"/>
  <c r="B418950" i="1"/>
  <c r="C418949" i="1"/>
  <c r="B418949" i="1"/>
  <c r="C418948" i="1"/>
  <c r="B418948" i="1"/>
  <c r="C418947" i="1"/>
  <c r="B418947" i="1"/>
  <c r="C418946" i="1"/>
  <c r="B418946" i="1"/>
  <c r="C418945" i="1"/>
  <c r="B418945" i="1"/>
  <c r="C418944" i="1"/>
  <c r="B418944" i="1"/>
  <c r="C418943" i="1"/>
  <c r="B418943" i="1"/>
  <c r="C418942" i="1"/>
  <c r="B418942" i="1"/>
  <c r="C418941" i="1"/>
  <c r="B418941" i="1"/>
  <c r="C418940" i="1"/>
  <c r="B418940" i="1"/>
  <c r="C418939" i="1"/>
  <c r="B418939" i="1"/>
  <c r="C418938" i="1"/>
  <c r="B418938" i="1"/>
  <c r="C418937" i="1"/>
  <c r="B418937" i="1"/>
  <c r="C418936" i="1"/>
  <c r="B418936" i="1"/>
  <c r="C418935" i="1"/>
  <c r="B418935" i="1"/>
  <c r="C418934" i="1"/>
  <c r="B418934" i="1"/>
  <c r="C418931" i="1"/>
  <c r="B418931" i="1"/>
  <c r="C418929" i="1"/>
  <c r="B418929" i="1"/>
  <c r="C418928" i="1"/>
  <c r="B418928" i="1"/>
  <c r="C418927" i="1"/>
  <c r="B418927" i="1"/>
  <c r="C418926" i="1"/>
  <c r="B418926" i="1"/>
  <c r="C418924" i="1"/>
  <c r="B418924" i="1"/>
  <c r="C418923" i="1"/>
  <c r="B418923" i="1"/>
  <c r="C418922" i="1"/>
  <c r="B418922" i="1"/>
  <c r="C418921" i="1"/>
  <c r="B418921" i="1"/>
  <c r="C418920" i="1"/>
  <c r="B418920" i="1"/>
  <c r="C418919" i="1"/>
  <c r="B418919" i="1"/>
  <c r="C418918" i="1"/>
  <c r="B418918" i="1"/>
  <c r="C418917" i="1"/>
  <c r="B418917" i="1"/>
  <c r="C418916" i="1"/>
  <c r="B418916" i="1"/>
  <c r="C418915" i="1"/>
  <c r="B418915" i="1"/>
  <c r="C418914" i="1"/>
  <c r="B418914" i="1"/>
  <c r="C418913" i="1"/>
  <c r="B418913" i="1"/>
  <c r="C418912" i="1"/>
  <c r="B418912" i="1"/>
  <c r="C418910" i="1"/>
  <c r="B418910" i="1"/>
  <c r="C418909" i="1"/>
  <c r="B418909" i="1"/>
  <c r="C418907" i="1"/>
  <c r="B418907" i="1"/>
  <c r="C418906" i="1"/>
  <c r="B418906" i="1"/>
  <c r="C418905" i="1"/>
  <c r="B418905" i="1"/>
  <c r="C418903" i="1"/>
  <c r="B418903" i="1"/>
  <c r="C418902" i="1"/>
  <c r="B418902" i="1"/>
  <c r="C418901" i="1"/>
  <c r="B418901" i="1"/>
  <c r="C418899" i="1"/>
  <c r="B418899" i="1"/>
  <c r="C418898" i="1"/>
  <c r="B418898" i="1"/>
  <c r="C418897" i="1"/>
  <c r="B418897" i="1"/>
  <c r="C418896" i="1"/>
  <c r="B418896" i="1"/>
  <c r="C418895" i="1"/>
  <c r="B418895" i="1"/>
  <c r="C418894" i="1"/>
  <c r="B418894" i="1"/>
  <c r="C418893" i="1"/>
  <c r="B418893" i="1"/>
  <c r="C418892" i="1"/>
  <c r="B418892" i="1"/>
  <c r="C418891" i="1"/>
  <c r="B418891" i="1"/>
  <c r="C418890" i="1"/>
  <c r="B418890" i="1"/>
  <c r="C418889" i="1"/>
  <c r="B418889" i="1"/>
  <c r="C418888" i="1"/>
  <c r="B418888" i="1"/>
  <c r="C418887" i="1"/>
  <c r="B418887" i="1"/>
  <c r="C418886" i="1"/>
  <c r="B418886" i="1"/>
  <c r="C418885" i="1"/>
  <c r="B418885" i="1"/>
  <c r="C418884" i="1"/>
  <c r="B418884" i="1"/>
  <c r="C418882" i="1"/>
  <c r="B418882" i="1"/>
  <c r="C418879" i="1"/>
  <c r="B418879" i="1"/>
  <c r="C418878" i="1"/>
  <c r="B418878" i="1"/>
  <c r="C419185" i="1"/>
  <c r="B419185" i="1"/>
  <c r="C419180" i="1"/>
  <c r="B419180" i="1"/>
  <c r="C419179" i="1"/>
  <c r="B419179" i="1"/>
  <c r="C419178" i="1"/>
  <c r="B419178" i="1"/>
  <c r="C419177" i="1"/>
  <c r="B419177" i="1"/>
  <c r="C419176" i="1"/>
  <c r="B419176" i="1"/>
  <c r="C419175" i="1"/>
  <c r="B419175" i="1"/>
  <c r="C419174" i="1"/>
  <c r="B419174" i="1"/>
  <c r="C419173" i="1"/>
  <c r="B419173" i="1"/>
  <c r="C419172" i="1"/>
  <c r="B419172" i="1"/>
  <c r="C419171" i="1"/>
  <c r="B419171" i="1"/>
  <c r="C419170" i="1"/>
  <c r="B419170" i="1"/>
  <c r="C419169" i="1"/>
  <c r="B419169" i="1"/>
  <c r="C419167" i="1"/>
  <c r="B419167" i="1"/>
  <c r="C419163" i="1"/>
  <c r="B419163" i="1"/>
  <c r="C419162" i="1"/>
  <c r="B419162" i="1"/>
  <c r="C419161" i="1"/>
  <c r="B419161" i="1"/>
  <c r="C419160" i="1"/>
  <c r="B419160" i="1"/>
  <c r="C419159" i="1"/>
  <c r="B419159" i="1"/>
  <c r="C419155" i="1"/>
  <c r="B419155" i="1"/>
  <c r="C419154" i="1"/>
  <c r="B419154" i="1"/>
  <c r="C419153" i="1"/>
  <c r="B419153" i="1"/>
  <c r="C419152" i="1"/>
  <c r="B419152" i="1"/>
  <c r="C419147" i="1"/>
  <c r="B419147" i="1"/>
  <c r="C419146" i="1"/>
  <c r="B419146" i="1"/>
  <c r="C419145" i="1"/>
  <c r="B419145" i="1"/>
  <c r="C419143" i="1"/>
  <c r="B419143" i="1"/>
  <c r="C419142" i="1"/>
  <c r="B419142" i="1"/>
  <c r="C419139" i="1"/>
  <c r="B419139" i="1"/>
  <c r="C419135" i="1"/>
  <c r="B419135" i="1"/>
  <c r="C419134" i="1"/>
  <c r="B419134" i="1"/>
  <c r="C419131" i="1"/>
  <c r="B419131" i="1"/>
  <c r="C419130" i="1"/>
  <c r="B419130" i="1"/>
  <c r="C419122" i="1"/>
  <c r="B419122" i="1"/>
  <c r="C419115" i="1"/>
  <c r="B419115" i="1"/>
  <c r="C419114" i="1"/>
  <c r="B419114" i="1"/>
  <c r="C419113" i="1"/>
  <c r="B419113" i="1"/>
  <c r="C419111" i="1"/>
  <c r="B419111" i="1"/>
  <c r="C419108" i="1"/>
  <c r="B419108" i="1"/>
  <c r="C419107" i="1"/>
  <c r="B419107" i="1"/>
  <c r="C419102" i="1"/>
  <c r="B419102" i="1"/>
  <c r="C419100" i="1"/>
  <c r="B419100" i="1"/>
  <c r="C419099" i="1"/>
  <c r="B419099" i="1"/>
  <c r="C419098" i="1"/>
  <c r="B419098" i="1"/>
  <c r="C419097" i="1"/>
  <c r="B419097" i="1"/>
  <c r="C419096" i="1"/>
  <c r="B419096" i="1"/>
  <c r="C419095" i="1"/>
  <c r="B419095" i="1"/>
  <c r="C419094" i="1"/>
  <c r="B419094" i="1"/>
  <c r="C419079" i="1"/>
  <c r="B419079" i="1"/>
  <c r="C419078" i="1"/>
  <c r="B419078" i="1"/>
  <c r="C419077" i="1"/>
  <c r="B419077" i="1"/>
  <c r="C419074" i="1"/>
  <c r="B419074" i="1"/>
  <c r="C419069" i="1"/>
  <c r="B419069" i="1"/>
  <c r="C419068" i="1"/>
  <c r="B419068" i="1"/>
  <c r="C419063" i="1"/>
  <c r="B419063" i="1"/>
  <c r="C419057" i="1"/>
  <c r="B419057" i="1"/>
  <c r="C419056" i="1"/>
  <c r="B419056" i="1"/>
  <c r="C419055" i="1"/>
  <c r="B419055" i="1"/>
  <c r="C419054" i="1"/>
  <c r="B419054" i="1"/>
  <c r="C419048" i="1"/>
  <c r="B419048" i="1"/>
  <c r="C419047" i="1"/>
  <c r="B419047" i="1"/>
  <c r="C419039" i="1"/>
  <c r="B419039" i="1"/>
  <c r="C419038" i="1"/>
  <c r="B419038" i="1"/>
  <c r="C419037" i="1"/>
  <c r="B419037" i="1"/>
  <c r="C419036" i="1"/>
  <c r="B419036" i="1"/>
  <c r="C419034" i="1"/>
  <c r="B419034" i="1"/>
  <c r="C419033" i="1"/>
  <c r="B419033" i="1"/>
  <c r="C419032" i="1"/>
  <c r="B419032" i="1"/>
  <c r="C419031" i="1"/>
  <c r="B419031" i="1"/>
  <c r="C419021" i="1"/>
  <c r="B419021" i="1"/>
  <c r="C419018" i="1"/>
  <c r="B419018" i="1"/>
  <c r="C419017" i="1"/>
  <c r="B419017" i="1"/>
  <c r="C419016" i="1"/>
  <c r="B419016" i="1"/>
  <c r="C419010" i="1"/>
  <c r="B419010" i="1"/>
  <c r="C419009" i="1"/>
  <c r="B419009" i="1"/>
  <c r="C419008" i="1"/>
  <c r="B419008" i="1"/>
  <c r="C419005" i="1"/>
  <c r="B419005" i="1"/>
  <c r="C418996" i="1"/>
  <c r="B418996" i="1"/>
  <c r="C418995" i="1"/>
  <c r="B418995" i="1"/>
  <c r="C418994" i="1"/>
  <c r="B418994" i="1"/>
  <c r="C418992" i="1"/>
  <c r="B418992" i="1"/>
  <c r="C418989" i="1"/>
  <c r="B418989" i="1"/>
  <c r="C418984" i="1"/>
  <c r="B418984" i="1"/>
  <c r="C418983" i="1"/>
  <c r="B418983" i="1"/>
  <c r="C418982" i="1"/>
  <c r="B418982" i="1"/>
  <c r="C418981" i="1"/>
  <c r="B418981" i="1"/>
  <c r="C418980" i="1"/>
  <c r="B418980" i="1"/>
  <c r="C418979" i="1"/>
  <c r="B418979" i="1"/>
  <c r="C418969" i="1"/>
  <c r="B418969" i="1"/>
  <c r="C418968" i="1"/>
  <c r="B418968" i="1"/>
  <c r="C418967" i="1"/>
  <c r="B418967" i="1"/>
  <c r="C418966" i="1"/>
  <c r="B418966" i="1"/>
  <c r="C418933" i="1"/>
  <c r="B418933" i="1"/>
  <c r="C418932" i="1"/>
  <c r="B418932" i="1"/>
  <c r="C418930" i="1"/>
  <c r="B418930" i="1"/>
  <c r="C418925" i="1"/>
  <c r="B418925" i="1"/>
  <c r="C418911" i="1"/>
  <c r="B418911" i="1"/>
  <c r="C418908" i="1"/>
  <c r="B418908" i="1"/>
  <c r="C418904" i="1"/>
  <c r="B418904" i="1"/>
  <c r="C418900" i="1"/>
  <c r="B418900" i="1"/>
  <c r="C418883" i="1"/>
  <c r="B418883" i="1"/>
  <c r="C418881" i="1"/>
  <c r="B418881" i="1"/>
  <c r="C418880" i="1"/>
  <c r="B418880" i="1"/>
  <c r="C418877" i="1"/>
  <c r="B418877" i="1"/>
  <c r="C418876" i="1"/>
  <c r="B418876" i="1"/>
  <c r="C418875" i="1"/>
  <c r="B418875" i="1"/>
  <c r="C418874" i="1"/>
  <c r="B418874" i="1"/>
  <c r="C418873" i="1"/>
  <c r="B418873" i="1"/>
  <c r="C418872" i="1"/>
  <c r="B418872" i="1"/>
  <c r="C418871" i="1"/>
  <c r="B418871" i="1"/>
  <c r="C418870" i="1"/>
  <c r="B418870" i="1"/>
  <c r="C418869" i="1"/>
  <c r="B418869" i="1"/>
  <c r="C418868" i="1"/>
  <c r="B418868" i="1"/>
  <c r="C418867" i="1"/>
  <c r="B418867" i="1"/>
  <c r="C418866" i="1"/>
  <c r="B418866" i="1"/>
  <c r="C418865" i="1"/>
  <c r="B418865" i="1"/>
  <c r="C418864" i="1"/>
  <c r="B418864" i="1"/>
  <c r="C418863" i="1"/>
  <c r="B418863" i="1"/>
  <c r="C418862" i="1"/>
  <c r="B418862" i="1"/>
  <c r="C418861" i="1"/>
  <c r="B418861" i="1"/>
  <c r="C418860" i="1"/>
  <c r="B418860" i="1"/>
  <c r="C418859" i="1"/>
  <c r="B418859" i="1"/>
  <c r="K419185" i="1"/>
  <c r="K419184" i="1"/>
  <c r="K419183" i="1"/>
  <c r="K419182" i="1"/>
  <c r="K419181" i="1"/>
  <c r="K419180" i="1"/>
  <c r="K419179" i="1"/>
  <c r="K419178" i="1"/>
  <c r="K419177" i="1"/>
  <c r="K419176" i="1"/>
  <c r="K419175" i="1"/>
  <c r="K419174" i="1"/>
  <c r="K419173" i="1"/>
  <c r="K419172" i="1"/>
  <c r="K419171" i="1"/>
  <c r="K419170" i="1"/>
  <c r="K419169" i="1"/>
  <c r="K419168" i="1"/>
  <c r="K419167" i="1"/>
  <c r="K419166" i="1"/>
  <c r="K419165" i="1"/>
  <c r="K419164" i="1"/>
  <c r="K419163" i="1"/>
  <c r="K419162" i="1"/>
  <c r="K419161" i="1"/>
  <c r="K419160" i="1"/>
  <c r="K419159" i="1"/>
  <c r="K419158" i="1"/>
  <c r="K419157" i="1"/>
  <c r="K419156" i="1"/>
  <c r="K419155" i="1"/>
  <c r="K419154" i="1"/>
  <c r="K419153" i="1"/>
  <c r="K419152" i="1"/>
  <c r="K419151" i="1"/>
  <c r="K419150" i="1"/>
  <c r="K419149" i="1"/>
  <c r="K419148" i="1"/>
  <c r="K419147" i="1"/>
  <c r="K419146" i="1"/>
  <c r="K419145" i="1"/>
  <c r="K419144" i="1"/>
  <c r="K419143" i="1"/>
  <c r="K419142" i="1"/>
  <c r="K419141" i="1"/>
  <c r="K419140" i="1"/>
  <c r="K419139" i="1"/>
  <c r="K419138" i="1"/>
  <c r="K419137" i="1"/>
  <c r="K419136" i="1"/>
  <c r="K419135" i="1"/>
  <c r="K419134" i="1"/>
  <c r="K419133" i="1"/>
  <c r="K419132" i="1"/>
  <c r="K419131" i="1"/>
  <c r="K419130" i="1"/>
  <c r="K419129" i="1"/>
  <c r="K419128" i="1"/>
  <c r="K419127" i="1"/>
  <c r="K419126" i="1"/>
  <c r="K419125" i="1"/>
  <c r="K419124" i="1"/>
  <c r="K419123" i="1"/>
  <c r="K419122" i="1"/>
  <c r="K419121" i="1"/>
  <c r="K419120" i="1"/>
  <c r="K419119" i="1"/>
  <c r="K419118" i="1"/>
  <c r="K419117" i="1"/>
  <c r="K419116" i="1"/>
  <c r="K419115" i="1"/>
  <c r="K419114" i="1"/>
  <c r="K419113" i="1"/>
  <c r="K419112" i="1"/>
  <c r="K419111" i="1"/>
  <c r="K419110" i="1"/>
  <c r="K419109" i="1"/>
  <c r="K419108" i="1"/>
  <c r="K419107" i="1"/>
  <c r="K419106" i="1"/>
  <c r="K419105" i="1"/>
  <c r="K419104" i="1"/>
  <c r="K419103" i="1"/>
  <c r="K419102" i="1"/>
  <c r="K419101" i="1"/>
  <c r="K419100" i="1"/>
  <c r="K419099" i="1"/>
  <c r="K419098" i="1"/>
  <c r="K419097" i="1"/>
  <c r="K419096" i="1"/>
  <c r="K419095" i="1"/>
  <c r="K419094" i="1"/>
  <c r="K419093" i="1"/>
  <c r="K419092" i="1"/>
  <c r="K419091" i="1"/>
  <c r="K419090" i="1"/>
  <c r="K419089" i="1"/>
  <c r="K419088" i="1"/>
  <c r="K419087" i="1"/>
  <c r="K419086" i="1"/>
  <c r="K419085" i="1"/>
  <c r="K419084" i="1"/>
  <c r="K419083" i="1"/>
  <c r="K419082" i="1"/>
  <c r="K419081" i="1"/>
  <c r="K419080" i="1"/>
  <c r="K419079" i="1"/>
  <c r="K419078" i="1"/>
  <c r="K419077" i="1"/>
  <c r="K419076" i="1"/>
  <c r="K419075" i="1"/>
  <c r="K419074" i="1"/>
  <c r="K419073" i="1"/>
  <c r="K419072" i="1"/>
  <c r="K419071" i="1"/>
  <c r="K419070" i="1"/>
  <c r="K419069" i="1"/>
  <c r="K419068" i="1"/>
  <c r="K419067" i="1"/>
  <c r="K419066" i="1"/>
  <c r="K419065" i="1"/>
  <c r="K419064" i="1"/>
  <c r="K419063" i="1"/>
  <c r="K419062" i="1"/>
  <c r="K419061" i="1"/>
  <c r="K419060" i="1"/>
  <c r="K419059" i="1"/>
  <c r="K419058" i="1"/>
  <c r="K419057" i="1"/>
  <c r="K419056" i="1"/>
  <c r="K419055" i="1"/>
  <c r="K419054" i="1"/>
  <c r="K419053" i="1"/>
  <c r="K419052" i="1"/>
  <c r="K419051" i="1"/>
  <c r="K419050" i="1"/>
  <c r="K419049" i="1"/>
  <c r="K419048" i="1"/>
  <c r="K419047" i="1"/>
  <c r="K419046" i="1"/>
  <c r="K419045" i="1"/>
  <c r="K419044" i="1"/>
  <c r="K419043" i="1"/>
  <c r="K419042" i="1"/>
  <c r="K419041" i="1"/>
  <c r="K419040" i="1"/>
  <c r="K419039" i="1"/>
  <c r="K419038" i="1"/>
  <c r="K419037" i="1"/>
  <c r="K419036" i="1"/>
  <c r="K419035" i="1"/>
  <c r="K419034" i="1"/>
  <c r="K419033" i="1"/>
  <c r="K419032" i="1"/>
  <c r="K419031" i="1"/>
  <c r="K419030" i="1"/>
  <c r="K419029" i="1"/>
  <c r="K419028" i="1"/>
  <c r="K419027" i="1"/>
  <c r="K419026" i="1"/>
  <c r="K419025" i="1"/>
  <c r="K419024" i="1"/>
  <c r="K419023" i="1"/>
  <c r="K419022" i="1"/>
  <c r="K419021" i="1"/>
  <c r="K419020" i="1"/>
  <c r="K419019" i="1"/>
  <c r="K419018" i="1"/>
  <c r="K419017" i="1"/>
  <c r="K419016" i="1"/>
  <c r="K419015" i="1"/>
  <c r="K419014" i="1"/>
  <c r="K419013" i="1"/>
  <c r="K419012" i="1"/>
  <c r="K419011" i="1"/>
  <c r="K419010" i="1"/>
  <c r="K419009" i="1"/>
  <c r="K419008" i="1"/>
  <c r="K419007" i="1"/>
  <c r="K419006" i="1"/>
  <c r="K419005" i="1"/>
  <c r="K419004" i="1"/>
  <c r="K419003" i="1"/>
  <c r="K419002" i="1"/>
  <c r="K419001" i="1"/>
  <c r="K419000" i="1"/>
  <c r="K418999" i="1"/>
  <c r="K418998" i="1"/>
  <c r="K418997" i="1"/>
  <c r="K418996" i="1"/>
  <c r="K418995" i="1"/>
  <c r="K418994" i="1"/>
  <c r="K418993" i="1"/>
  <c r="K418992" i="1"/>
  <c r="K418991" i="1"/>
  <c r="K418990" i="1"/>
  <c r="K418989" i="1"/>
  <c r="K418988" i="1"/>
  <c r="K418987" i="1"/>
  <c r="K418986" i="1"/>
  <c r="K418985" i="1"/>
  <c r="K418984" i="1"/>
  <c r="K418983" i="1"/>
  <c r="K418982" i="1"/>
  <c r="K418981" i="1"/>
  <c r="K418980" i="1"/>
  <c r="K418979" i="1"/>
  <c r="K418978" i="1"/>
  <c r="K418977" i="1"/>
  <c r="K418976" i="1"/>
  <c r="K418975" i="1"/>
  <c r="K418974" i="1"/>
  <c r="K418973" i="1"/>
  <c r="K418972" i="1"/>
  <c r="K418971" i="1"/>
  <c r="K418970" i="1"/>
  <c r="K418969" i="1"/>
  <c r="K418968" i="1"/>
  <c r="K418967" i="1"/>
  <c r="K418966" i="1"/>
  <c r="K418965" i="1"/>
  <c r="K418964" i="1"/>
  <c r="K418963" i="1"/>
  <c r="K418962" i="1"/>
  <c r="K418961" i="1"/>
  <c r="K418960" i="1"/>
  <c r="K418959" i="1"/>
  <c r="K418958" i="1"/>
  <c r="K418957" i="1"/>
  <c r="K418956" i="1"/>
  <c r="K418955" i="1"/>
  <c r="K418954" i="1"/>
  <c r="K418953" i="1"/>
  <c r="K418952" i="1"/>
  <c r="K418951" i="1"/>
  <c r="K418950" i="1"/>
  <c r="K418949" i="1"/>
  <c r="K418948" i="1"/>
  <c r="K418947" i="1"/>
  <c r="K418946" i="1"/>
  <c r="K418945" i="1"/>
  <c r="K418944" i="1"/>
  <c r="K418943" i="1"/>
  <c r="K418942" i="1"/>
  <c r="K418941" i="1"/>
  <c r="K418940" i="1"/>
  <c r="K418939" i="1"/>
  <c r="K418938" i="1"/>
  <c r="K418937" i="1"/>
  <c r="K418936" i="1"/>
  <c r="K418935" i="1"/>
  <c r="K418934" i="1"/>
  <c r="K418933" i="1"/>
  <c r="K418932" i="1"/>
  <c r="K418931" i="1"/>
  <c r="K418930" i="1"/>
  <c r="K418929" i="1"/>
  <c r="K418928" i="1"/>
  <c r="K418927" i="1"/>
  <c r="K418926" i="1"/>
  <c r="K418925" i="1"/>
  <c r="K418924" i="1"/>
  <c r="K418923" i="1"/>
  <c r="K418922" i="1"/>
  <c r="K418921" i="1"/>
  <c r="K418920" i="1"/>
  <c r="K418919" i="1"/>
  <c r="K418918" i="1"/>
  <c r="K418917" i="1"/>
  <c r="K418916" i="1"/>
  <c r="K418915" i="1"/>
  <c r="K418914" i="1"/>
  <c r="K418913" i="1"/>
  <c r="K418912" i="1"/>
  <c r="K418911" i="1"/>
  <c r="K418910" i="1"/>
  <c r="K418909" i="1"/>
  <c r="K418908" i="1"/>
  <c r="K418907" i="1"/>
  <c r="K418906" i="1"/>
  <c r="K418905" i="1"/>
  <c r="K418904" i="1"/>
  <c r="K418903" i="1"/>
  <c r="K418902" i="1"/>
  <c r="K418901" i="1"/>
  <c r="K418900" i="1"/>
  <c r="K418899" i="1"/>
  <c r="K418898" i="1"/>
  <c r="K418897" i="1"/>
  <c r="K418896" i="1"/>
  <c r="K418895" i="1"/>
  <c r="K418894" i="1"/>
  <c r="K418893" i="1"/>
  <c r="K418892" i="1"/>
  <c r="K418891" i="1"/>
  <c r="K418890" i="1"/>
  <c r="K418889" i="1"/>
  <c r="K418888" i="1"/>
  <c r="K418887" i="1"/>
  <c r="K418886" i="1"/>
  <c r="K418885" i="1"/>
  <c r="K418884" i="1"/>
  <c r="K418883" i="1"/>
  <c r="K418882" i="1"/>
  <c r="K418881" i="1"/>
  <c r="K418880" i="1"/>
  <c r="K418879" i="1"/>
  <c r="K418878" i="1"/>
  <c r="K418877" i="1"/>
  <c r="K418876" i="1"/>
  <c r="K418875" i="1"/>
  <c r="K418874" i="1"/>
  <c r="K418873" i="1"/>
  <c r="K418872" i="1"/>
  <c r="K418871" i="1"/>
  <c r="K418870" i="1"/>
  <c r="K418869" i="1"/>
  <c r="K418868" i="1"/>
  <c r="K418867" i="1"/>
  <c r="K418866" i="1"/>
  <c r="K418865" i="1"/>
  <c r="K418864" i="1"/>
  <c r="K418863" i="1"/>
  <c r="K418862" i="1"/>
  <c r="K418861" i="1"/>
  <c r="K418860" i="1"/>
  <c r="K418859" i="1"/>
  <c r="C418858" i="1"/>
  <c r="B418858" i="1"/>
  <c r="C418857" i="1"/>
  <c r="B418857" i="1"/>
  <c r="C418856" i="1"/>
  <c r="B418856" i="1"/>
  <c r="C418855" i="1"/>
  <c r="B418855" i="1"/>
  <c r="C418854" i="1"/>
  <c r="B418854" i="1"/>
  <c r="C418853" i="1"/>
  <c r="B418853" i="1"/>
  <c r="C418852" i="1"/>
  <c r="B418852" i="1"/>
  <c r="C418851" i="1"/>
  <c r="B418851" i="1"/>
  <c r="C418850" i="1"/>
  <c r="B418850" i="1"/>
  <c r="C418849" i="1"/>
  <c r="B418849" i="1"/>
  <c r="C418848" i="1"/>
  <c r="B418848" i="1"/>
  <c r="C418847" i="1"/>
  <c r="B418847" i="1"/>
  <c r="C418846" i="1"/>
  <c r="B418846" i="1"/>
  <c r="C418845" i="1"/>
  <c r="B418845" i="1"/>
  <c r="C418844" i="1"/>
  <c r="B418844" i="1"/>
  <c r="C418843" i="1"/>
  <c r="B418843" i="1"/>
  <c r="C418842" i="1"/>
  <c r="B418842" i="1"/>
  <c r="C418841" i="1"/>
  <c r="B418841" i="1"/>
  <c r="C418840" i="1"/>
  <c r="B418840" i="1"/>
  <c r="C418839" i="1"/>
  <c r="B418839" i="1"/>
  <c r="C418838" i="1"/>
  <c r="B418838" i="1"/>
  <c r="C418837" i="1"/>
  <c r="B418837" i="1"/>
  <c r="C418836" i="1"/>
  <c r="B418836" i="1"/>
  <c r="C418835" i="1"/>
  <c r="B418835" i="1"/>
  <c r="C418834" i="1"/>
  <c r="B418834" i="1"/>
  <c r="C418833" i="1"/>
  <c r="B418833" i="1"/>
  <c r="C418832" i="1"/>
  <c r="B418832" i="1"/>
  <c r="C418831" i="1"/>
  <c r="B418831" i="1"/>
  <c r="C418830" i="1"/>
  <c r="B418830" i="1"/>
  <c r="C418829" i="1"/>
  <c r="B418829" i="1"/>
  <c r="C418828" i="1"/>
  <c r="B418828" i="1"/>
  <c r="C418827" i="1"/>
  <c r="B418827" i="1"/>
  <c r="C418826" i="1"/>
  <c r="B418826" i="1"/>
  <c r="C418825" i="1"/>
  <c r="B418825" i="1"/>
  <c r="C418824" i="1"/>
  <c r="B418824" i="1"/>
  <c r="C418823" i="1"/>
  <c r="B418823" i="1"/>
  <c r="C418822" i="1"/>
  <c r="B418822" i="1"/>
  <c r="C418821" i="1"/>
  <c r="B418821" i="1"/>
  <c r="C418820" i="1"/>
  <c r="B418820" i="1"/>
  <c r="C418819" i="1"/>
  <c r="B418819" i="1"/>
  <c r="C418818" i="1"/>
  <c r="B418818" i="1"/>
  <c r="C418817" i="1"/>
  <c r="B418817" i="1"/>
  <c r="C418816" i="1"/>
  <c r="B418816" i="1"/>
  <c r="C418815" i="1"/>
  <c r="B418815" i="1"/>
  <c r="C418814" i="1"/>
  <c r="B418814" i="1"/>
  <c r="C418813" i="1"/>
  <c r="B418813" i="1"/>
  <c r="C418812" i="1"/>
  <c r="B418812" i="1"/>
  <c r="C418811" i="1"/>
  <c r="B418811" i="1"/>
  <c r="K418858" i="1"/>
  <c r="K418857" i="1"/>
  <c r="K418856" i="1"/>
  <c r="K418855" i="1"/>
  <c r="K418854" i="1"/>
  <c r="K418853" i="1"/>
  <c r="K418852" i="1"/>
  <c r="K418851" i="1"/>
  <c r="K418850" i="1"/>
  <c r="K418849" i="1"/>
  <c r="K418848" i="1"/>
  <c r="K418847" i="1"/>
  <c r="K418846" i="1"/>
  <c r="K418845" i="1"/>
  <c r="K418844" i="1"/>
  <c r="K418843" i="1"/>
  <c r="K418842" i="1"/>
  <c r="K418841" i="1"/>
  <c r="K418840" i="1"/>
  <c r="K418839" i="1"/>
  <c r="K418838" i="1"/>
  <c r="K418837" i="1"/>
  <c r="K418836" i="1"/>
  <c r="K418835" i="1"/>
  <c r="K418834" i="1"/>
  <c r="K418833" i="1"/>
  <c r="K418832" i="1"/>
  <c r="K418831" i="1"/>
  <c r="K418830" i="1"/>
  <c r="K418829" i="1"/>
  <c r="K418828" i="1"/>
  <c r="K418827" i="1"/>
  <c r="K418826" i="1"/>
  <c r="K418825" i="1"/>
  <c r="K418824" i="1"/>
  <c r="K418823" i="1"/>
  <c r="K418822" i="1"/>
  <c r="K418821" i="1"/>
  <c r="K418820" i="1"/>
  <c r="K418819" i="1"/>
  <c r="K418818" i="1"/>
  <c r="K418817" i="1"/>
  <c r="K418816" i="1"/>
  <c r="K418815" i="1"/>
  <c r="K418814" i="1"/>
  <c r="K418813" i="1"/>
  <c r="K418812" i="1"/>
  <c r="K418811" i="1"/>
  <c r="K418810" i="1"/>
  <c r="K418809" i="1"/>
  <c r="K418808" i="1"/>
  <c r="K418807" i="1"/>
  <c r="K418806" i="1"/>
  <c r="K418805" i="1"/>
  <c r="K418804" i="1"/>
  <c r="K418803" i="1"/>
  <c r="K418802" i="1"/>
  <c r="K418801" i="1"/>
  <c r="K418800" i="1"/>
  <c r="K418799" i="1"/>
  <c r="K418798" i="1"/>
  <c r="K418797" i="1"/>
  <c r="K418796" i="1"/>
  <c r="K418795" i="1"/>
  <c r="K418794" i="1"/>
  <c r="K418793" i="1"/>
  <c r="K418792" i="1"/>
  <c r="K418791" i="1"/>
  <c r="K418790" i="1"/>
  <c r="K418789" i="1"/>
  <c r="K418788" i="1"/>
  <c r="K418787" i="1"/>
  <c r="K418786" i="1"/>
  <c r="K418785" i="1"/>
  <c r="K418784" i="1"/>
  <c r="K418783" i="1"/>
  <c r="K418782" i="1"/>
  <c r="K418781" i="1"/>
  <c r="K418780" i="1"/>
  <c r="K418779" i="1"/>
  <c r="K418778" i="1"/>
  <c r="K418777" i="1"/>
  <c r="K418776" i="1"/>
  <c r="K418775" i="1"/>
  <c r="K418774" i="1"/>
  <c r="K418773" i="1"/>
  <c r="K418772" i="1"/>
  <c r="K418771" i="1"/>
  <c r="K418770" i="1"/>
  <c r="K418769" i="1"/>
  <c r="K418768" i="1"/>
  <c r="K418767" i="1"/>
  <c r="C418810" i="1"/>
  <c r="B418810" i="1"/>
  <c r="C418809" i="1"/>
  <c r="B418809" i="1"/>
  <c r="C418808" i="1"/>
  <c r="B418808" i="1"/>
  <c r="C418807" i="1"/>
  <c r="B418807" i="1"/>
  <c r="C418806" i="1"/>
  <c r="B418806" i="1"/>
  <c r="C418805" i="1"/>
  <c r="B418805" i="1"/>
  <c r="C418804" i="1"/>
  <c r="B418804" i="1"/>
  <c r="C418803" i="1"/>
  <c r="B418803" i="1"/>
  <c r="C418802" i="1"/>
  <c r="B418802" i="1"/>
  <c r="C418801" i="1"/>
  <c r="B418801" i="1"/>
  <c r="C418800" i="1"/>
  <c r="B418800" i="1"/>
  <c r="C418799" i="1"/>
  <c r="B418799" i="1"/>
  <c r="C418798" i="1"/>
  <c r="B418798" i="1"/>
  <c r="C418797" i="1"/>
  <c r="B418797" i="1"/>
  <c r="C418796" i="1"/>
  <c r="B418796" i="1"/>
  <c r="C418795" i="1"/>
  <c r="B418795" i="1"/>
  <c r="C418794" i="1"/>
  <c r="B418794" i="1"/>
  <c r="C418793" i="1"/>
  <c r="B418793" i="1"/>
  <c r="C418792" i="1"/>
  <c r="B418792" i="1"/>
  <c r="C418791" i="1"/>
  <c r="B418791" i="1"/>
  <c r="C418790" i="1"/>
  <c r="B418790" i="1"/>
  <c r="C418789" i="1"/>
  <c r="B418789" i="1"/>
  <c r="C418788" i="1"/>
  <c r="B418788" i="1"/>
  <c r="C418787" i="1"/>
  <c r="B418787" i="1"/>
  <c r="C418786" i="1"/>
  <c r="B418786" i="1"/>
  <c r="C418785" i="1"/>
  <c r="B418785" i="1"/>
  <c r="C418784" i="1"/>
  <c r="B418784" i="1"/>
  <c r="C418783" i="1"/>
  <c r="B418783" i="1"/>
  <c r="C418782" i="1"/>
  <c r="B418782" i="1"/>
  <c r="C418781" i="1"/>
  <c r="B418781" i="1"/>
  <c r="C418780" i="1"/>
  <c r="B418780" i="1"/>
  <c r="C418779" i="1"/>
  <c r="B418779" i="1"/>
  <c r="C418778" i="1"/>
  <c r="B418778" i="1"/>
  <c r="C418777" i="1"/>
  <c r="B418777" i="1"/>
  <c r="C418776" i="1"/>
  <c r="B418776" i="1"/>
  <c r="C418775" i="1"/>
  <c r="B418775" i="1"/>
  <c r="C418774" i="1"/>
  <c r="B418774" i="1"/>
  <c r="C418773" i="1"/>
  <c r="B418773" i="1"/>
  <c r="C418772" i="1"/>
  <c r="B418772" i="1"/>
  <c r="C418771" i="1"/>
  <c r="B418771" i="1"/>
  <c r="C418770" i="1"/>
  <c r="B418770" i="1"/>
  <c r="C418769" i="1"/>
  <c r="B418769" i="1"/>
  <c r="C418768" i="1"/>
  <c r="B418768" i="1"/>
  <c r="C418767" i="1"/>
  <c r="B418767" i="1"/>
  <c r="K418766" i="1"/>
  <c r="K418765" i="1"/>
  <c r="K418764" i="1"/>
  <c r="K418763" i="1"/>
  <c r="K418762" i="1"/>
  <c r="K418761" i="1"/>
  <c r="K418760" i="1"/>
  <c r="K418759" i="1"/>
  <c r="K418758" i="1"/>
  <c r="K418757" i="1"/>
  <c r="K418756" i="1"/>
  <c r="K418755" i="1"/>
  <c r="K418754" i="1"/>
  <c r="K418753" i="1"/>
  <c r="K418752" i="1"/>
  <c r="K418751" i="1"/>
  <c r="K418750" i="1"/>
  <c r="K418749" i="1"/>
  <c r="K418748" i="1"/>
  <c r="K418747" i="1"/>
  <c r="K418746" i="1"/>
  <c r="K418745" i="1"/>
  <c r="K418744" i="1"/>
  <c r="K418743" i="1"/>
  <c r="K418742" i="1"/>
  <c r="K418741" i="1"/>
  <c r="K418740" i="1"/>
  <c r="K418739" i="1"/>
  <c r="K418738" i="1"/>
  <c r="K418737" i="1"/>
  <c r="K418736" i="1"/>
  <c r="K418735" i="1"/>
  <c r="K418734" i="1"/>
  <c r="K418733" i="1"/>
  <c r="K418732" i="1"/>
  <c r="K418731" i="1"/>
  <c r="K418730" i="1"/>
  <c r="K418729" i="1"/>
  <c r="K418728" i="1"/>
  <c r="K418727" i="1"/>
  <c r="K418726" i="1"/>
  <c r="K418725" i="1"/>
  <c r="K418724" i="1"/>
  <c r="K418723" i="1"/>
  <c r="K418722" i="1"/>
  <c r="K418721" i="1"/>
  <c r="K418720" i="1"/>
  <c r="K418719" i="1"/>
  <c r="K418718" i="1"/>
  <c r="K418717" i="1"/>
  <c r="K418716" i="1"/>
  <c r="K418715" i="1"/>
  <c r="K418714" i="1"/>
  <c r="K418713" i="1"/>
  <c r="K418712" i="1"/>
  <c r="K418711" i="1"/>
  <c r="K418710" i="1"/>
  <c r="K418709" i="1"/>
  <c r="K418708" i="1"/>
  <c r="K418707" i="1"/>
  <c r="K418706" i="1"/>
  <c r="K418705" i="1"/>
  <c r="K418704" i="1"/>
  <c r="K418703" i="1"/>
  <c r="K418702" i="1"/>
  <c r="K418701" i="1"/>
  <c r="K418700" i="1"/>
  <c r="K418699" i="1"/>
  <c r="K418698" i="1"/>
  <c r="K418697" i="1"/>
  <c r="K418696" i="1"/>
  <c r="K418695" i="1"/>
  <c r="K418694" i="1"/>
  <c r="K418693" i="1"/>
  <c r="K418692" i="1"/>
  <c r="K418691" i="1"/>
  <c r="K418690" i="1"/>
  <c r="K418689" i="1"/>
  <c r="K418688" i="1"/>
  <c r="K418687" i="1"/>
  <c r="K418686" i="1"/>
  <c r="K418685" i="1"/>
  <c r="K418684" i="1"/>
  <c r="K418683" i="1"/>
  <c r="K418682" i="1"/>
  <c r="K418681" i="1"/>
  <c r="K418680" i="1"/>
  <c r="K418679" i="1"/>
  <c r="K418678" i="1"/>
  <c r="K418677" i="1"/>
  <c r="K418676" i="1"/>
  <c r="K418675" i="1"/>
  <c r="K418674" i="1"/>
  <c r="K418673" i="1"/>
  <c r="K418672" i="1"/>
  <c r="K418671" i="1"/>
  <c r="K418670" i="1"/>
  <c r="K418669" i="1"/>
  <c r="K418668" i="1"/>
  <c r="K418667" i="1"/>
  <c r="K418666" i="1"/>
  <c r="K418665" i="1"/>
  <c r="K418664" i="1"/>
  <c r="K418663" i="1"/>
  <c r="K418662" i="1"/>
  <c r="K418661" i="1"/>
  <c r="K418660" i="1"/>
  <c r="K418659" i="1"/>
  <c r="B418660" i="1"/>
  <c r="C418660" i="1"/>
  <c r="B418661" i="1"/>
  <c r="C418661" i="1"/>
  <c r="B418662" i="1"/>
  <c r="C418662" i="1"/>
  <c r="B418663" i="1"/>
  <c r="C418663" i="1"/>
  <c r="B418664" i="1"/>
  <c r="C418664" i="1"/>
  <c r="B418665" i="1"/>
  <c r="C418665" i="1"/>
  <c r="B418666" i="1"/>
  <c r="C418666" i="1"/>
  <c r="B418667" i="1"/>
  <c r="C418667" i="1"/>
  <c r="B418668" i="1"/>
  <c r="C418668" i="1"/>
  <c r="B418669" i="1"/>
  <c r="C418669" i="1"/>
  <c r="B418670" i="1"/>
  <c r="C418670" i="1"/>
  <c r="B418671" i="1"/>
  <c r="C418671" i="1"/>
  <c r="B418672" i="1"/>
  <c r="C418672" i="1"/>
  <c r="B418673" i="1"/>
  <c r="C418673" i="1"/>
  <c r="B418674" i="1"/>
  <c r="C418674" i="1"/>
  <c r="B418675" i="1"/>
  <c r="C418675" i="1"/>
  <c r="B418676" i="1"/>
  <c r="C418676" i="1"/>
  <c r="B418677" i="1"/>
  <c r="C418677" i="1"/>
  <c r="B418678" i="1"/>
  <c r="C418678" i="1"/>
  <c r="B418679" i="1"/>
  <c r="C418679" i="1"/>
  <c r="B418680" i="1"/>
  <c r="C418680" i="1"/>
  <c r="B418681" i="1"/>
  <c r="C418681" i="1"/>
  <c r="B418682" i="1"/>
  <c r="C418682" i="1"/>
  <c r="B418683" i="1"/>
  <c r="C418683" i="1"/>
  <c r="B418684" i="1"/>
  <c r="C418684" i="1"/>
  <c r="B418685" i="1"/>
  <c r="C418685" i="1"/>
  <c r="B418686" i="1"/>
  <c r="C418686" i="1"/>
  <c r="B418687" i="1"/>
  <c r="C418687" i="1"/>
  <c r="B418688" i="1"/>
  <c r="C418688" i="1"/>
  <c r="B418689" i="1"/>
  <c r="C418689" i="1"/>
  <c r="B418690" i="1"/>
  <c r="C418690" i="1"/>
  <c r="B418691" i="1"/>
  <c r="C418691" i="1"/>
  <c r="B418692" i="1"/>
  <c r="C418692" i="1"/>
  <c r="B418693" i="1"/>
  <c r="C418693" i="1"/>
  <c r="B418694" i="1"/>
  <c r="C418694" i="1"/>
  <c r="B418695" i="1"/>
  <c r="C418695" i="1"/>
  <c r="B418696" i="1"/>
  <c r="C418696" i="1"/>
  <c r="B418697" i="1"/>
  <c r="C418697" i="1"/>
  <c r="B418698" i="1"/>
  <c r="C418698" i="1"/>
  <c r="B418699" i="1"/>
  <c r="C418699" i="1"/>
  <c r="B418700" i="1"/>
  <c r="C418700" i="1"/>
  <c r="B418701" i="1"/>
  <c r="C418701" i="1"/>
  <c r="B418702" i="1"/>
  <c r="C418702" i="1"/>
  <c r="B418703" i="1"/>
  <c r="C418703" i="1"/>
  <c r="B418704" i="1"/>
  <c r="C418704" i="1"/>
  <c r="B418705" i="1"/>
  <c r="C418705" i="1"/>
  <c r="B418706" i="1"/>
  <c r="C418706" i="1"/>
  <c r="B418707" i="1"/>
  <c r="C418707" i="1"/>
  <c r="B418708" i="1"/>
  <c r="C418708" i="1"/>
  <c r="B418709" i="1"/>
  <c r="C418709" i="1"/>
  <c r="B418710" i="1"/>
  <c r="C418710" i="1"/>
  <c r="B418711" i="1"/>
  <c r="C418711" i="1"/>
  <c r="B418712" i="1"/>
  <c r="C418712" i="1"/>
  <c r="B418713" i="1"/>
  <c r="C418713" i="1"/>
  <c r="B418714" i="1"/>
  <c r="C418714" i="1"/>
  <c r="B418715" i="1"/>
  <c r="C418715" i="1"/>
  <c r="B418716" i="1"/>
  <c r="C418716" i="1"/>
  <c r="B418717" i="1"/>
  <c r="C418717" i="1"/>
  <c r="B418718" i="1"/>
  <c r="C418718" i="1"/>
  <c r="B418719" i="1"/>
  <c r="C418719" i="1"/>
  <c r="B418720" i="1"/>
  <c r="C418720" i="1"/>
  <c r="B418721" i="1"/>
  <c r="C418721" i="1"/>
  <c r="B418722" i="1"/>
  <c r="C418722" i="1"/>
  <c r="B418723" i="1"/>
  <c r="C418723" i="1"/>
  <c r="B418724" i="1"/>
  <c r="C418724" i="1"/>
  <c r="B418725" i="1"/>
  <c r="C418725" i="1"/>
  <c r="B418726" i="1"/>
  <c r="C418726" i="1"/>
  <c r="B418727" i="1"/>
  <c r="C418727" i="1"/>
  <c r="B418728" i="1"/>
  <c r="C418728" i="1"/>
  <c r="B418729" i="1"/>
  <c r="C418729" i="1"/>
  <c r="B418730" i="1"/>
  <c r="C418730" i="1"/>
  <c r="B418731" i="1"/>
  <c r="C418731" i="1"/>
  <c r="B418732" i="1"/>
  <c r="C418732" i="1"/>
  <c r="B418733" i="1"/>
  <c r="C418733" i="1"/>
  <c r="B418734" i="1"/>
  <c r="C418734" i="1"/>
  <c r="B418735" i="1"/>
  <c r="C418735" i="1"/>
  <c r="B418736" i="1"/>
  <c r="C418736" i="1"/>
  <c r="B418737" i="1"/>
  <c r="C418737" i="1"/>
  <c r="B418738" i="1"/>
  <c r="C418738" i="1"/>
  <c r="B418739" i="1"/>
  <c r="C418739" i="1"/>
  <c r="B418740" i="1"/>
  <c r="C418740" i="1"/>
  <c r="B418741" i="1"/>
  <c r="C418741" i="1"/>
  <c r="B418742" i="1"/>
  <c r="C418742" i="1"/>
  <c r="B418743" i="1"/>
  <c r="C418743" i="1"/>
  <c r="B418744" i="1"/>
  <c r="C418744" i="1"/>
  <c r="B418745" i="1"/>
  <c r="C418745" i="1"/>
  <c r="B418746" i="1"/>
  <c r="C418746" i="1"/>
  <c r="B418747" i="1"/>
  <c r="C418747" i="1"/>
  <c r="B418748" i="1"/>
  <c r="C418748" i="1"/>
  <c r="B418749" i="1"/>
  <c r="C418749" i="1"/>
  <c r="B418750" i="1"/>
  <c r="C418750" i="1"/>
  <c r="B418751" i="1"/>
  <c r="C418751" i="1"/>
  <c r="B418752" i="1"/>
  <c r="C418752" i="1"/>
  <c r="B418753" i="1"/>
  <c r="C418753" i="1"/>
  <c r="B418754" i="1"/>
  <c r="C418754" i="1"/>
  <c r="B418755" i="1"/>
  <c r="C418755" i="1"/>
  <c r="B418756" i="1"/>
  <c r="C418756" i="1"/>
  <c r="B418757" i="1"/>
  <c r="C418757" i="1"/>
  <c r="B418758" i="1"/>
  <c r="C418758" i="1"/>
  <c r="B418759" i="1"/>
  <c r="C418759" i="1"/>
  <c r="B418760" i="1"/>
  <c r="C418760" i="1"/>
  <c r="B418761" i="1"/>
  <c r="C418761" i="1"/>
  <c r="B418762" i="1"/>
  <c r="C418762" i="1"/>
  <c r="B418763" i="1"/>
  <c r="C418763" i="1"/>
  <c r="B418764" i="1"/>
  <c r="C418764" i="1"/>
  <c r="B418765" i="1"/>
  <c r="C418765" i="1"/>
  <c r="B418766" i="1"/>
  <c r="C418766" i="1"/>
  <c r="C418659" i="1"/>
  <c r="B418659" i="1"/>
  <c r="K418658" i="1"/>
  <c r="K418657" i="1"/>
  <c r="K418656" i="1"/>
  <c r="K418655" i="1"/>
  <c r="K418654" i="1"/>
  <c r="K418653" i="1"/>
  <c r="K418652" i="1"/>
  <c r="K418651" i="1"/>
  <c r="K418650" i="1"/>
  <c r="K418649" i="1"/>
  <c r="K418648" i="1"/>
  <c r="K418647" i="1"/>
  <c r="K418646" i="1"/>
  <c r="K418645" i="1"/>
  <c r="K418644" i="1"/>
  <c r="K418643" i="1"/>
  <c r="K418642" i="1"/>
  <c r="K418641" i="1"/>
  <c r="K418640" i="1"/>
  <c r="K418639" i="1"/>
  <c r="K418638" i="1"/>
  <c r="K418637" i="1"/>
  <c r="K418636" i="1"/>
  <c r="K418635" i="1"/>
  <c r="K418634" i="1"/>
  <c r="K418633" i="1"/>
  <c r="K418632" i="1"/>
  <c r="K418631" i="1"/>
  <c r="K418630" i="1"/>
  <c r="K418629" i="1"/>
  <c r="K418628" i="1"/>
  <c r="K418627" i="1"/>
  <c r="K418626" i="1"/>
  <c r="K418625" i="1"/>
  <c r="K418624" i="1"/>
  <c r="K418623" i="1"/>
  <c r="K418622" i="1"/>
  <c r="K418621" i="1"/>
  <c r="K418620" i="1"/>
  <c r="K418619" i="1"/>
  <c r="K418618" i="1"/>
  <c r="K418617" i="1"/>
  <c r="K418616" i="1"/>
  <c r="K418615" i="1"/>
  <c r="K418614" i="1"/>
  <c r="K418613" i="1"/>
  <c r="K418612" i="1"/>
  <c r="K418611" i="1"/>
  <c r="K418610" i="1"/>
  <c r="K418609" i="1"/>
  <c r="K418608" i="1"/>
  <c r="K418607" i="1"/>
  <c r="K418606" i="1"/>
  <c r="K418605" i="1"/>
  <c r="K418604" i="1"/>
  <c r="K418603" i="1"/>
  <c r="K418602" i="1"/>
  <c r="K418601" i="1"/>
  <c r="K418600" i="1"/>
  <c r="K418599" i="1"/>
  <c r="K418598" i="1"/>
  <c r="K418597" i="1"/>
  <c r="K418596" i="1"/>
  <c r="K418595" i="1"/>
  <c r="K418594" i="1"/>
  <c r="K418593" i="1"/>
  <c r="K418592" i="1"/>
  <c r="K418591" i="1"/>
  <c r="K418590" i="1"/>
  <c r="K418589" i="1"/>
  <c r="K418588" i="1"/>
  <c r="K418587" i="1"/>
  <c r="K418586" i="1"/>
  <c r="K418585" i="1"/>
  <c r="K418584" i="1"/>
  <c r="K418583" i="1"/>
  <c r="K418582" i="1"/>
  <c r="K418581" i="1"/>
  <c r="K418580" i="1"/>
  <c r="K418579" i="1"/>
  <c r="K418578" i="1"/>
  <c r="K418577" i="1"/>
  <c r="K418576" i="1"/>
  <c r="K418575" i="1"/>
  <c r="K418574" i="1"/>
  <c r="K418573" i="1"/>
  <c r="K418572" i="1"/>
  <c r="K418571" i="1"/>
  <c r="K418570" i="1"/>
  <c r="K418569" i="1"/>
  <c r="K418568" i="1"/>
  <c r="K418567" i="1"/>
  <c r="K418566" i="1"/>
  <c r="K418565" i="1"/>
  <c r="K418564" i="1"/>
  <c r="K418563" i="1"/>
  <c r="K418562" i="1"/>
  <c r="K418561" i="1"/>
  <c r="K418560" i="1"/>
  <c r="K418559" i="1"/>
  <c r="K418558" i="1"/>
  <c r="K418557" i="1"/>
  <c r="K418556" i="1"/>
  <c r="K418555" i="1"/>
  <c r="K418554" i="1"/>
  <c r="K418553" i="1"/>
  <c r="K418552" i="1"/>
  <c r="K418551" i="1"/>
  <c r="K418550" i="1"/>
  <c r="K418549" i="1"/>
  <c r="K418548" i="1"/>
  <c r="K418547" i="1"/>
  <c r="K418546" i="1"/>
  <c r="K418545" i="1"/>
  <c r="K418544" i="1"/>
  <c r="K418543" i="1"/>
  <c r="K418542" i="1"/>
  <c r="K418541" i="1"/>
  <c r="K418540" i="1"/>
  <c r="K418539" i="1"/>
  <c r="K418538" i="1"/>
  <c r="K418537" i="1"/>
  <c r="K418536" i="1"/>
  <c r="K418535" i="1"/>
  <c r="K418534" i="1"/>
  <c r="K418533" i="1"/>
  <c r="K418532" i="1"/>
  <c r="K418531" i="1"/>
  <c r="K418530" i="1"/>
  <c r="K418529" i="1"/>
  <c r="K418528" i="1"/>
  <c r="K418527" i="1"/>
  <c r="K418526" i="1"/>
  <c r="K418525" i="1"/>
  <c r="K418524" i="1"/>
  <c r="K418523" i="1"/>
  <c r="K418522" i="1"/>
  <c r="K418521" i="1"/>
  <c r="K418520" i="1"/>
  <c r="K418519" i="1"/>
  <c r="K418518" i="1"/>
  <c r="K418517" i="1"/>
  <c r="K418516" i="1"/>
  <c r="K418515" i="1"/>
  <c r="K418514" i="1"/>
  <c r="K418513" i="1"/>
  <c r="K418512" i="1"/>
  <c r="K418511" i="1"/>
  <c r="K418510" i="1"/>
  <c r="K418509" i="1"/>
  <c r="K418508" i="1"/>
  <c r="K418507" i="1"/>
  <c r="K418506" i="1"/>
  <c r="K418505" i="1"/>
  <c r="K418504" i="1"/>
  <c r="K418503" i="1"/>
  <c r="K418502" i="1"/>
  <c r="K418501" i="1"/>
  <c r="K418500" i="1"/>
  <c r="K418499" i="1"/>
  <c r="K418498" i="1"/>
  <c r="K418497" i="1"/>
  <c r="K418496" i="1"/>
  <c r="K418495" i="1"/>
  <c r="K418494" i="1"/>
  <c r="K418493" i="1"/>
  <c r="K418492" i="1"/>
  <c r="K418491" i="1"/>
  <c r="K418490" i="1"/>
  <c r="K418489" i="1"/>
  <c r="K418488" i="1"/>
  <c r="K418487" i="1"/>
  <c r="K418486" i="1"/>
  <c r="K418485" i="1"/>
  <c r="K418484" i="1"/>
  <c r="K418483" i="1"/>
  <c r="K418482" i="1"/>
  <c r="K418481" i="1"/>
  <c r="K418480" i="1"/>
  <c r="K418479" i="1"/>
  <c r="K418478" i="1"/>
  <c r="K418477" i="1"/>
  <c r="K418476" i="1"/>
  <c r="K418475" i="1"/>
  <c r="K418474" i="1"/>
  <c r="B418475" i="1"/>
  <c r="C418475" i="1"/>
  <c r="B418476" i="1"/>
  <c r="C418476" i="1"/>
  <c r="B418477" i="1"/>
  <c r="C418477" i="1"/>
  <c r="B418478" i="1"/>
  <c r="C418478" i="1"/>
  <c r="B418479" i="1"/>
  <c r="C418479" i="1"/>
  <c r="B418480" i="1"/>
  <c r="C418480" i="1"/>
  <c r="B418481" i="1"/>
  <c r="C418481" i="1"/>
  <c r="B418482" i="1"/>
  <c r="C418482" i="1"/>
  <c r="B418483" i="1"/>
  <c r="C418483" i="1"/>
  <c r="B418484" i="1"/>
  <c r="C418484" i="1"/>
  <c r="B418485" i="1"/>
  <c r="C418485" i="1"/>
  <c r="B418486" i="1"/>
  <c r="C418486" i="1"/>
  <c r="B418487" i="1"/>
  <c r="C418487" i="1"/>
  <c r="B418488" i="1"/>
  <c r="C418488" i="1"/>
  <c r="B418489" i="1"/>
  <c r="C418489" i="1"/>
  <c r="B418490" i="1"/>
  <c r="C418490" i="1"/>
  <c r="B418491" i="1"/>
  <c r="C418491" i="1"/>
  <c r="B418492" i="1"/>
  <c r="C418492" i="1"/>
  <c r="B418493" i="1"/>
  <c r="C418493" i="1"/>
  <c r="B418494" i="1"/>
  <c r="C418494" i="1"/>
  <c r="B418495" i="1"/>
  <c r="C418495" i="1"/>
  <c r="B418496" i="1"/>
  <c r="C418496" i="1"/>
  <c r="B418497" i="1"/>
  <c r="C418497" i="1"/>
  <c r="B418498" i="1"/>
  <c r="C418498" i="1"/>
  <c r="B418499" i="1"/>
  <c r="C418499" i="1"/>
  <c r="B418500" i="1"/>
  <c r="C418500" i="1"/>
  <c r="B418501" i="1"/>
  <c r="C418501" i="1"/>
  <c r="B418502" i="1"/>
  <c r="C418502" i="1"/>
  <c r="B418503" i="1"/>
  <c r="C418503" i="1"/>
  <c r="B418504" i="1"/>
  <c r="C418504" i="1"/>
  <c r="B418505" i="1"/>
  <c r="C418505" i="1"/>
  <c r="B418506" i="1"/>
  <c r="C418506" i="1"/>
  <c r="B418507" i="1"/>
  <c r="C418507" i="1"/>
  <c r="B418508" i="1"/>
  <c r="C418508" i="1"/>
  <c r="B418509" i="1"/>
  <c r="C418509" i="1"/>
  <c r="B418510" i="1"/>
  <c r="C418510" i="1"/>
  <c r="B418511" i="1"/>
  <c r="C418511" i="1"/>
  <c r="B418512" i="1"/>
  <c r="C418512" i="1"/>
  <c r="B418513" i="1"/>
  <c r="C418513" i="1"/>
  <c r="B418514" i="1"/>
  <c r="C418514" i="1"/>
  <c r="B418515" i="1"/>
  <c r="C418515" i="1"/>
  <c r="B418516" i="1"/>
  <c r="C418516" i="1"/>
  <c r="B418517" i="1"/>
  <c r="C418517" i="1"/>
  <c r="B418518" i="1"/>
  <c r="C418518" i="1"/>
  <c r="B418519" i="1"/>
  <c r="C418519" i="1"/>
  <c r="B418520" i="1"/>
  <c r="C418520" i="1"/>
  <c r="B418521" i="1"/>
  <c r="C418521" i="1"/>
  <c r="B418522" i="1"/>
  <c r="C418522" i="1"/>
  <c r="B418523" i="1"/>
  <c r="C418523" i="1"/>
  <c r="B418524" i="1"/>
  <c r="C418524" i="1"/>
  <c r="B418525" i="1"/>
  <c r="C418525" i="1"/>
  <c r="B418526" i="1"/>
  <c r="C418526" i="1"/>
  <c r="B418527" i="1"/>
  <c r="C418527" i="1"/>
  <c r="B418528" i="1"/>
  <c r="C418528" i="1"/>
  <c r="B418529" i="1"/>
  <c r="C418529" i="1"/>
  <c r="B418530" i="1"/>
  <c r="C418530" i="1"/>
  <c r="B418531" i="1"/>
  <c r="C418531" i="1"/>
  <c r="B418532" i="1"/>
  <c r="C418532" i="1"/>
  <c r="B418533" i="1"/>
  <c r="C418533" i="1"/>
  <c r="B418534" i="1"/>
  <c r="C418534" i="1"/>
  <c r="B418535" i="1"/>
  <c r="C418535" i="1"/>
  <c r="B418536" i="1"/>
  <c r="C418536" i="1"/>
  <c r="B418537" i="1"/>
  <c r="C418537" i="1"/>
  <c r="B418538" i="1"/>
  <c r="C418538" i="1"/>
  <c r="B418539" i="1"/>
  <c r="C418539" i="1"/>
  <c r="B418540" i="1"/>
  <c r="C418540" i="1"/>
  <c r="B418541" i="1"/>
  <c r="C418541" i="1"/>
  <c r="B418542" i="1"/>
  <c r="C418542" i="1"/>
  <c r="B418543" i="1"/>
  <c r="C418543" i="1"/>
  <c r="B418544" i="1"/>
  <c r="C418544" i="1"/>
  <c r="B418545" i="1"/>
  <c r="C418545" i="1"/>
  <c r="B418546" i="1"/>
  <c r="C418546" i="1"/>
  <c r="B418547" i="1"/>
  <c r="C418547" i="1"/>
  <c r="B418548" i="1"/>
  <c r="C418548" i="1"/>
  <c r="B418549" i="1"/>
  <c r="C418549" i="1"/>
  <c r="B418550" i="1"/>
  <c r="C418550" i="1"/>
  <c r="B418551" i="1"/>
  <c r="C418551" i="1"/>
  <c r="B418552" i="1"/>
  <c r="C418552" i="1"/>
  <c r="B418553" i="1"/>
  <c r="C418553" i="1"/>
  <c r="B418554" i="1"/>
  <c r="C418554" i="1"/>
  <c r="B418555" i="1"/>
  <c r="C418555" i="1"/>
  <c r="B418556" i="1"/>
  <c r="C418556" i="1"/>
  <c r="B418557" i="1"/>
  <c r="C418557" i="1"/>
  <c r="B418558" i="1"/>
  <c r="C418558" i="1"/>
  <c r="B418559" i="1"/>
  <c r="C418559" i="1"/>
  <c r="B418560" i="1"/>
  <c r="C418560" i="1"/>
  <c r="B418561" i="1"/>
  <c r="C418561" i="1"/>
  <c r="B418562" i="1"/>
  <c r="C418562" i="1"/>
  <c r="B418563" i="1"/>
  <c r="C418563" i="1"/>
  <c r="B418564" i="1"/>
  <c r="C418564" i="1"/>
  <c r="B418565" i="1"/>
  <c r="C418565" i="1"/>
  <c r="B418566" i="1"/>
  <c r="C418566" i="1"/>
  <c r="B418567" i="1"/>
  <c r="C418567" i="1"/>
  <c r="B418568" i="1"/>
  <c r="C418568" i="1"/>
  <c r="B418569" i="1"/>
  <c r="C418569" i="1"/>
  <c r="B418570" i="1"/>
  <c r="C418570" i="1"/>
  <c r="B418571" i="1"/>
  <c r="C418571" i="1"/>
  <c r="B418572" i="1"/>
  <c r="C418572" i="1"/>
  <c r="B418573" i="1"/>
  <c r="C418573" i="1"/>
  <c r="B418574" i="1"/>
  <c r="C418574" i="1"/>
  <c r="B418575" i="1"/>
  <c r="C418575" i="1"/>
  <c r="B418576" i="1"/>
  <c r="C418576" i="1"/>
  <c r="B418577" i="1"/>
  <c r="C418577" i="1"/>
  <c r="B418578" i="1"/>
  <c r="C418578" i="1"/>
  <c r="B418579" i="1"/>
  <c r="C418579" i="1"/>
  <c r="B418580" i="1"/>
  <c r="C418580" i="1"/>
  <c r="B418581" i="1"/>
  <c r="C418581" i="1"/>
  <c r="B418582" i="1"/>
  <c r="C418582" i="1"/>
  <c r="B418583" i="1"/>
  <c r="C418583" i="1"/>
  <c r="B418584" i="1"/>
  <c r="C418584" i="1"/>
  <c r="B418585" i="1"/>
  <c r="C418585" i="1"/>
  <c r="B418586" i="1"/>
  <c r="C418586" i="1"/>
  <c r="B418587" i="1"/>
  <c r="C418587" i="1"/>
  <c r="B418588" i="1"/>
  <c r="C418588" i="1"/>
  <c r="B418589" i="1"/>
  <c r="C418589" i="1"/>
  <c r="B418590" i="1"/>
  <c r="C418590" i="1"/>
  <c r="B418591" i="1"/>
  <c r="C418591" i="1"/>
  <c r="B418592" i="1"/>
  <c r="C418592" i="1"/>
  <c r="B418593" i="1"/>
  <c r="C418593" i="1"/>
  <c r="B418594" i="1"/>
  <c r="C418594" i="1"/>
  <c r="B418595" i="1"/>
  <c r="C418595" i="1"/>
  <c r="B418596" i="1"/>
  <c r="C418596" i="1"/>
  <c r="B418597" i="1"/>
  <c r="C418597" i="1"/>
  <c r="B418598" i="1"/>
  <c r="C418598" i="1"/>
  <c r="B418599" i="1"/>
  <c r="C418599" i="1"/>
  <c r="B418600" i="1"/>
  <c r="C418600" i="1"/>
  <c r="B418601" i="1"/>
  <c r="C418601" i="1"/>
  <c r="B418602" i="1"/>
  <c r="C418602" i="1"/>
  <c r="B418603" i="1"/>
  <c r="C418603" i="1"/>
  <c r="B418604" i="1"/>
  <c r="C418604" i="1"/>
  <c r="B418605" i="1"/>
  <c r="C418605" i="1"/>
  <c r="B418606" i="1"/>
  <c r="C418606" i="1"/>
  <c r="B418607" i="1"/>
  <c r="C418607" i="1"/>
  <c r="B418608" i="1"/>
  <c r="C418608" i="1"/>
  <c r="B418609" i="1"/>
  <c r="C418609" i="1"/>
  <c r="B418610" i="1"/>
  <c r="C418610" i="1"/>
  <c r="B418611" i="1"/>
  <c r="C418611" i="1"/>
  <c r="B418612" i="1"/>
  <c r="C418612" i="1"/>
  <c r="B418613" i="1"/>
  <c r="C418613" i="1"/>
  <c r="B418614" i="1"/>
  <c r="C418614" i="1"/>
  <c r="B418615" i="1"/>
  <c r="C418615" i="1"/>
  <c r="B418616" i="1"/>
  <c r="C418616" i="1"/>
  <c r="B418617" i="1"/>
  <c r="C418617" i="1"/>
  <c r="B418618" i="1"/>
  <c r="C418618" i="1"/>
  <c r="B418619" i="1"/>
  <c r="C418619" i="1"/>
  <c r="B418620" i="1"/>
  <c r="C418620" i="1"/>
  <c r="B418621" i="1"/>
  <c r="C418621" i="1"/>
  <c r="B418622" i="1"/>
  <c r="C418622" i="1"/>
  <c r="B418623" i="1"/>
  <c r="C418623" i="1"/>
  <c r="B418624" i="1"/>
  <c r="C418624" i="1"/>
  <c r="B418625" i="1"/>
  <c r="C418625" i="1"/>
  <c r="B418626" i="1"/>
  <c r="C418626" i="1"/>
  <c r="B418627" i="1"/>
  <c r="C418627" i="1"/>
  <c r="B418628" i="1"/>
  <c r="C418628" i="1"/>
  <c r="B418629" i="1"/>
  <c r="C418629" i="1"/>
  <c r="B418630" i="1"/>
  <c r="C418630" i="1"/>
  <c r="B418631" i="1"/>
  <c r="C418631" i="1"/>
  <c r="B418632" i="1"/>
  <c r="C418632" i="1"/>
  <c r="B418633" i="1"/>
  <c r="C418633" i="1"/>
  <c r="B418634" i="1"/>
  <c r="C418634" i="1"/>
  <c r="B418635" i="1"/>
  <c r="C418635" i="1"/>
  <c r="B418636" i="1"/>
  <c r="C418636" i="1"/>
  <c r="B418637" i="1"/>
  <c r="C418637" i="1"/>
  <c r="B418638" i="1"/>
  <c r="C418638" i="1"/>
  <c r="B418639" i="1"/>
  <c r="C418639" i="1"/>
  <c r="B418640" i="1"/>
  <c r="C418640" i="1"/>
  <c r="B418641" i="1"/>
  <c r="C418641" i="1"/>
  <c r="B418642" i="1"/>
  <c r="C418642" i="1"/>
  <c r="B418643" i="1"/>
  <c r="C418643" i="1"/>
  <c r="B418644" i="1"/>
  <c r="C418644" i="1"/>
  <c r="B418645" i="1"/>
  <c r="C418645" i="1"/>
  <c r="B418646" i="1"/>
  <c r="C418646" i="1"/>
  <c r="B418647" i="1"/>
  <c r="C418647" i="1"/>
  <c r="B418648" i="1"/>
  <c r="C418648" i="1"/>
  <c r="B418649" i="1"/>
  <c r="C418649" i="1"/>
  <c r="B418650" i="1"/>
  <c r="C418650" i="1"/>
  <c r="B418651" i="1"/>
  <c r="C418651" i="1"/>
  <c r="B418652" i="1"/>
  <c r="C418652" i="1"/>
  <c r="B418653" i="1"/>
  <c r="C418653" i="1"/>
  <c r="B418654" i="1"/>
  <c r="C418654" i="1"/>
  <c r="B418655" i="1"/>
  <c r="C418655" i="1"/>
  <c r="B418656" i="1"/>
  <c r="C418656" i="1"/>
  <c r="B418657" i="1"/>
  <c r="C418657" i="1"/>
  <c r="B418658" i="1"/>
  <c r="C418658" i="1"/>
  <c r="C418474" i="1"/>
  <c r="B418474" i="1"/>
  <c r="K418473" i="1"/>
  <c r="K418472" i="1"/>
  <c r="K418471" i="1"/>
  <c r="K418470" i="1"/>
  <c r="K418469" i="1"/>
  <c r="K418468" i="1"/>
  <c r="K418467" i="1"/>
  <c r="K418466" i="1"/>
  <c r="K418465" i="1"/>
  <c r="K418464" i="1"/>
  <c r="K418463" i="1"/>
  <c r="K418462" i="1"/>
  <c r="K418461" i="1"/>
  <c r="K418460" i="1"/>
  <c r="K418459" i="1"/>
  <c r="K418458" i="1"/>
  <c r="K418457" i="1"/>
  <c r="K418456" i="1"/>
  <c r="K418455" i="1"/>
  <c r="K418454" i="1"/>
  <c r="K418453" i="1"/>
  <c r="K418452" i="1"/>
  <c r="K418451" i="1"/>
  <c r="K418450" i="1"/>
  <c r="K418449" i="1"/>
  <c r="K418448" i="1"/>
  <c r="K418447" i="1"/>
  <c r="K418446" i="1"/>
  <c r="K418445" i="1"/>
  <c r="K418444" i="1"/>
  <c r="K418443" i="1"/>
  <c r="K418442" i="1"/>
  <c r="K418441" i="1"/>
  <c r="K418440" i="1"/>
  <c r="K418439" i="1"/>
  <c r="K418438" i="1"/>
  <c r="K418437" i="1"/>
  <c r="K418436" i="1"/>
  <c r="K418435" i="1"/>
  <c r="K418434" i="1"/>
  <c r="K418433" i="1"/>
  <c r="K418432" i="1"/>
  <c r="K418431" i="1"/>
  <c r="K418430" i="1"/>
  <c r="K418429" i="1"/>
  <c r="K418428" i="1"/>
  <c r="K418427" i="1"/>
  <c r="K418426" i="1"/>
  <c r="K418425" i="1"/>
  <c r="K418424" i="1"/>
  <c r="K418423" i="1"/>
  <c r="K418422" i="1"/>
  <c r="K418421" i="1"/>
  <c r="K418420" i="1"/>
  <c r="K418419" i="1"/>
  <c r="K418418" i="1"/>
  <c r="K418417" i="1"/>
  <c r="K418416" i="1"/>
  <c r="K418415" i="1"/>
  <c r="K418414" i="1"/>
  <c r="K418413" i="1"/>
  <c r="K418412" i="1"/>
  <c r="K418411" i="1"/>
  <c r="K418410" i="1"/>
  <c r="K418409" i="1"/>
  <c r="K418408" i="1"/>
  <c r="K418407" i="1"/>
  <c r="K418406" i="1"/>
  <c r="K418405" i="1"/>
  <c r="K418404" i="1"/>
  <c r="K418403" i="1"/>
  <c r="K418402" i="1"/>
  <c r="K418401" i="1"/>
  <c r="K418400" i="1"/>
  <c r="K418399" i="1"/>
  <c r="K418398" i="1"/>
  <c r="K418397" i="1"/>
  <c r="K418396" i="1"/>
  <c r="K418395" i="1"/>
  <c r="K418394" i="1"/>
  <c r="K418393" i="1"/>
  <c r="K418392" i="1"/>
  <c r="K418391" i="1"/>
  <c r="K418390" i="1"/>
  <c r="K418389" i="1"/>
  <c r="K418388" i="1"/>
  <c r="K418387" i="1"/>
  <c r="K418386" i="1"/>
  <c r="K418385" i="1"/>
  <c r="K418384" i="1"/>
  <c r="K418383" i="1"/>
  <c r="K418382" i="1"/>
  <c r="K418381" i="1"/>
  <c r="K418380" i="1"/>
  <c r="K418379" i="1"/>
  <c r="K418378" i="1"/>
  <c r="K418377" i="1"/>
  <c r="K418376" i="1"/>
  <c r="K418375" i="1"/>
  <c r="K418374" i="1"/>
  <c r="K418373" i="1"/>
  <c r="K418372" i="1"/>
  <c r="K418371" i="1"/>
  <c r="K418370" i="1"/>
  <c r="K418369" i="1"/>
  <c r="K418368" i="1"/>
  <c r="K418367" i="1"/>
  <c r="K418366" i="1"/>
  <c r="K418365" i="1"/>
  <c r="K418364" i="1"/>
  <c r="K418363" i="1"/>
  <c r="K418362" i="1"/>
  <c r="K418361" i="1"/>
  <c r="K418360" i="1"/>
  <c r="K418359" i="1"/>
  <c r="K418358" i="1"/>
  <c r="K418357" i="1"/>
  <c r="K418356" i="1"/>
  <c r="K418355" i="1"/>
  <c r="K418354" i="1"/>
  <c r="K418353" i="1"/>
  <c r="K418352" i="1"/>
  <c r="K418351" i="1"/>
  <c r="K418350" i="1"/>
  <c r="K418349" i="1"/>
  <c r="K418348" i="1"/>
  <c r="K418347" i="1"/>
  <c r="K418346" i="1"/>
  <c r="K418345" i="1"/>
  <c r="K418344" i="1"/>
  <c r="K418343" i="1"/>
  <c r="K418342" i="1"/>
  <c r="K418341" i="1"/>
  <c r="K418340" i="1"/>
  <c r="K418339" i="1"/>
  <c r="K418338" i="1"/>
  <c r="K418337" i="1"/>
  <c r="K418336" i="1"/>
  <c r="K418335" i="1"/>
  <c r="K418334" i="1"/>
  <c r="K418333" i="1"/>
  <c r="K418332" i="1"/>
  <c r="K418331" i="1"/>
  <c r="K418330" i="1"/>
  <c r="K418329" i="1"/>
  <c r="K418328" i="1"/>
  <c r="K418327" i="1"/>
  <c r="K418326" i="1"/>
  <c r="K418325" i="1"/>
  <c r="K418324" i="1"/>
  <c r="K418323" i="1"/>
  <c r="K418322" i="1"/>
  <c r="K418321" i="1"/>
  <c r="K418320" i="1"/>
  <c r="K418319" i="1"/>
  <c r="K418318" i="1"/>
  <c r="K418317" i="1"/>
  <c r="K418316" i="1"/>
  <c r="K418315" i="1"/>
  <c r="K418314" i="1"/>
  <c r="K418313" i="1"/>
  <c r="K418312" i="1"/>
  <c r="K418311" i="1"/>
  <c r="K418310" i="1"/>
  <c r="K418309" i="1"/>
  <c r="K418308" i="1"/>
  <c r="K418307" i="1"/>
  <c r="K418306" i="1"/>
  <c r="K418305" i="1"/>
  <c r="K418304" i="1"/>
  <c r="K418303" i="1"/>
  <c r="K418302" i="1"/>
  <c r="K418301" i="1"/>
  <c r="K418300" i="1"/>
  <c r="K418299" i="1"/>
  <c r="K418298" i="1"/>
  <c r="K418297" i="1"/>
  <c r="K418296" i="1"/>
  <c r="K418295" i="1"/>
  <c r="K418294" i="1"/>
  <c r="K418293" i="1"/>
  <c r="K418292" i="1"/>
  <c r="K418291" i="1"/>
  <c r="K418290" i="1"/>
  <c r="K418289" i="1"/>
  <c r="K418288" i="1"/>
  <c r="K418287" i="1"/>
  <c r="K418286" i="1"/>
  <c r="K418285" i="1"/>
  <c r="K418284" i="1"/>
  <c r="K418283" i="1"/>
  <c r="K418282" i="1"/>
  <c r="K418281" i="1"/>
  <c r="K418280" i="1"/>
  <c r="K418279" i="1"/>
  <c r="K418278" i="1"/>
  <c r="K418277" i="1"/>
  <c r="K418276" i="1"/>
  <c r="K418275" i="1"/>
  <c r="K418274" i="1"/>
  <c r="K418273" i="1"/>
  <c r="K418272" i="1"/>
  <c r="K418271" i="1"/>
  <c r="K418270" i="1"/>
  <c r="K418269" i="1"/>
  <c r="K418268" i="1"/>
  <c r="C418473" i="1"/>
  <c r="B418473" i="1"/>
  <c r="C418472" i="1"/>
  <c r="B418472" i="1"/>
  <c r="C418471" i="1"/>
  <c r="B418471" i="1"/>
  <c r="C418470" i="1"/>
  <c r="B418470" i="1"/>
  <c r="C418469" i="1"/>
  <c r="B418469" i="1"/>
  <c r="C418468" i="1"/>
  <c r="B418468" i="1"/>
  <c r="C418467" i="1"/>
  <c r="B418467" i="1"/>
  <c r="C418466" i="1"/>
  <c r="B418466" i="1"/>
  <c r="C418465" i="1"/>
  <c r="B418465" i="1"/>
  <c r="C418464" i="1"/>
  <c r="B418464" i="1"/>
  <c r="C418463" i="1"/>
  <c r="B418463" i="1"/>
  <c r="C418462" i="1"/>
  <c r="B418462" i="1"/>
  <c r="C418461" i="1"/>
  <c r="B418461" i="1"/>
  <c r="C418460" i="1"/>
  <c r="B418460" i="1"/>
  <c r="C418459" i="1"/>
  <c r="B418459" i="1"/>
  <c r="C418458" i="1"/>
  <c r="B418458" i="1"/>
  <c r="C418457" i="1"/>
  <c r="B418457" i="1"/>
  <c r="C418456" i="1"/>
  <c r="B418456" i="1"/>
  <c r="C418455" i="1"/>
  <c r="B418455" i="1"/>
  <c r="C418454" i="1"/>
  <c r="B418454" i="1"/>
  <c r="C418453" i="1"/>
  <c r="B418453" i="1"/>
  <c r="C418452" i="1"/>
  <c r="B418452" i="1"/>
  <c r="C418451" i="1"/>
  <c r="B418451" i="1"/>
  <c r="C418450" i="1"/>
  <c r="B418450" i="1"/>
  <c r="C418449" i="1"/>
  <c r="B418449" i="1"/>
  <c r="C418448" i="1"/>
  <c r="B418448" i="1"/>
  <c r="C418447" i="1"/>
  <c r="B418447" i="1"/>
  <c r="C418446" i="1"/>
  <c r="B418446" i="1"/>
  <c r="C418445" i="1"/>
  <c r="B418445" i="1"/>
  <c r="C418444" i="1"/>
  <c r="B418444" i="1"/>
  <c r="C418443" i="1"/>
  <c r="B418443" i="1"/>
  <c r="C418442" i="1"/>
  <c r="B418442" i="1"/>
  <c r="C418441" i="1"/>
  <c r="B418441" i="1"/>
  <c r="C418440" i="1"/>
  <c r="B418440" i="1"/>
  <c r="C418439" i="1"/>
  <c r="B418439" i="1"/>
  <c r="C418438" i="1"/>
  <c r="B418438" i="1"/>
  <c r="C418437" i="1"/>
  <c r="B418437" i="1"/>
  <c r="C418436" i="1"/>
  <c r="B418436" i="1"/>
  <c r="C418435" i="1"/>
  <c r="B418435" i="1"/>
  <c r="C418434" i="1"/>
  <c r="B418434" i="1"/>
  <c r="C418433" i="1"/>
  <c r="B418433" i="1"/>
  <c r="C418432" i="1"/>
  <c r="B418432" i="1"/>
  <c r="C418431" i="1"/>
  <c r="B418431" i="1"/>
  <c r="C418430" i="1"/>
  <c r="B418430" i="1"/>
  <c r="C418429" i="1"/>
  <c r="B418429" i="1"/>
  <c r="C418428" i="1"/>
  <c r="B418428" i="1"/>
  <c r="C418427" i="1"/>
  <c r="B418427" i="1"/>
  <c r="C418426" i="1"/>
  <c r="B418426" i="1"/>
  <c r="C418425" i="1"/>
  <c r="B418425" i="1"/>
  <c r="C418424" i="1"/>
  <c r="B418424" i="1"/>
  <c r="C418423" i="1"/>
  <c r="B418423" i="1"/>
  <c r="C418422" i="1"/>
  <c r="B418422" i="1"/>
  <c r="C418421" i="1"/>
  <c r="B418421" i="1"/>
  <c r="C418420" i="1"/>
  <c r="B418420" i="1"/>
  <c r="C418419" i="1"/>
  <c r="B418419" i="1"/>
  <c r="C418418" i="1"/>
  <c r="B418418" i="1"/>
  <c r="C418417" i="1"/>
  <c r="B418417" i="1"/>
  <c r="C418416" i="1"/>
  <c r="B418416" i="1"/>
  <c r="C418415" i="1"/>
  <c r="B418415" i="1"/>
  <c r="C418414" i="1"/>
  <c r="B418414" i="1"/>
  <c r="C418413" i="1"/>
  <c r="B418413" i="1"/>
  <c r="C418412" i="1"/>
  <c r="B418412" i="1"/>
  <c r="C418411" i="1"/>
  <c r="B418411" i="1"/>
  <c r="C418410" i="1"/>
  <c r="B418410" i="1"/>
  <c r="C418409" i="1"/>
  <c r="B418409" i="1"/>
  <c r="C418408" i="1"/>
  <c r="B418408" i="1"/>
  <c r="C418407" i="1"/>
  <c r="B418407" i="1"/>
  <c r="C418406" i="1"/>
  <c r="B418406" i="1"/>
  <c r="C418405" i="1"/>
  <c r="B418405" i="1"/>
  <c r="C418404" i="1"/>
  <c r="B418404" i="1"/>
  <c r="C418403" i="1"/>
  <c r="B418403" i="1"/>
  <c r="C418402" i="1"/>
  <c r="B418402" i="1"/>
  <c r="C418401" i="1"/>
  <c r="B418401" i="1"/>
  <c r="C418400" i="1"/>
  <c r="B418400" i="1"/>
  <c r="C418399" i="1"/>
  <c r="B418399" i="1"/>
  <c r="C418398" i="1"/>
  <c r="B418398" i="1"/>
  <c r="C418397" i="1"/>
  <c r="B418397" i="1"/>
  <c r="C418396" i="1"/>
  <c r="B418396" i="1"/>
  <c r="C418395" i="1"/>
  <c r="B418395" i="1"/>
  <c r="C418394" i="1"/>
  <c r="B418394" i="1"/>
  <c r="C418393" i="1"/>
  <c r="B418393" i="1"/>
  <c r="C418392" i="1"/>
  <c r="B418392" i="1"/>
  <c r="C418391" i="1"/>
  <c r="B418391" i="1"/>
  <c r="C418390" i="1"/>
  <c r="B418390" i="1"/>
  <c r="C418389" i="1"/>
  <c r="B418389" i="1"/>
  <c r="C418388" i="1"/>
  <c r="B418388" i="1"/>
  <c r="C418387" i="1"/>
  <c r="B418387" i="1"/>
  <c r="C418386" i="1"/>
  <c r="B418386" i="1"/>
  <c r="C418385" i="1"/>
  <c r="B418385" i="1"/>
  <c r="C418384" i="1"/>
  <c r="B418384" i="1"/>
  <c r="C418383" i="1"/>
  <c r="B418383" i="1"/>
  <c r="C418382" i="1"/>
  <c r="B418382" i="1"/>
  <c r="C418381" i="1"/>
  <c r="B418381" i="1"/>
  <c r="C418380" i="1"/>
  <c r="B418380" i="1"/>
  <c r="C418379" i="1"/>
  <c r="B418379" i="1"/>
  <c r="C418378" i="1"/>
  <c r="B418378" i="1"/>
  <c r="C418377" i="1"/>
  <c r="B418377" i="1"/>
  <c r="C418376" i="1"/>
  <c r="B418376" i="1"/>
  <c r="C418375" i="1"/>
  <c r="B418375" i="1"/>
  <c r="C418374" i="1"/>
  <c r="B418374" i="1"/>
  <c r="C418373" i="1"/>
  <c r="B418373" i="1"/>
  <c r="C418372" i="1"/>
  <c r="B418372" i="1"/>
  <c r="C418371" i="1"/>
  <c r="B418371" i="1"/>
  <c r="C418370" i="1"/>
  <c r="B418370" i="1"/>
  <c r="C418369" i="1"/>
  <c r="B418369" i="1"/>
  <c r="C418368" i="1"/>
  <c r="B418368" i="1"/>
  <c r="C418367" i="1"/>
  <c r="B418367" i="1"/>
  <c r="C418366" i="1"/>
  <c r="B418366" i="1"/>
  <c r="C418365" i="1"/>
  <c r="B418365" i="1"/>
  <c r="C418364" i="1"/>
  <c r="B418364" i="1"/>
  <c r="C418363" i="1"/>
  <c r="B418363" i="1"/>
  <c r="C418362" i="1"/>
  <c r="B418362" i="1"/>
  <c r="C418361" i="1"/>
  <c r="B418361" i="1"/>
  <c r="C418360" i="1"/>
  <c r="B418360" i="1"/>
  <c r="C418359" i="1"/>
  <c r="B418359" i="1"/>
  <c r="C418358" i="1"/>
  <c r="B418358" i="1"/>
  <c r="C418357" i="1"/>
  <c r="B418357" i="1"/>
  <c r="C418356" i="1"/>
  <c r="B418356" i="1"/>
  <c r="C418355" i="1"/>
  <c r="B418355" i="1"/>
  <c r="C418354" i="1"/>
  <c r="B418354" i="1"/>
  <c r="C418353" i="1"/>
  <c r="B418353" i="1"/>
  <c r="C418352" i="1"/>
  <c r="B418352" i="1"/>
  <c r="C418351" i="1"/>
  <c r="B418351" i="1"/>
  <c r="C418350" i="1"/>
  <c r="B418350" i="1"/>
  <c r="C418349" i="1"/>
  <c r="B418349" i="1"/>
  <c r="C418348" i="1"/>
  <c r="B418348" i="1"/>
  <c r="C418347" i="1"/>
  <c r="B418347" i="1"/>
  <c r="C418346" i="1"/>
  <c r="B418346" i="1"/>
  <c r="C418345" i="1"/>
  <c r="B418345" i="1"/>
  <c r="C418344" i="1"/>
  <c r="B418344" i="1"/>
  <c r="C418343" i="1"/>
  <c r="B418343" i="1"/>
  <c r="C418342" i="1"/>
  <c r="B418342" i="1"/>
  <c r="C418341" i="1"/>
  <c r="B418341" i="1"/>
  <c r="C418340" i="1"/>
  <c r="B418340" i="1"/>
  <c r="C418339" i="1"/>
  <c r="B418339" i="1"/>
  <c r="C418338" i="1"/>
  <c r="B418338" i="1"/>
  <c r="C418337" i="1"/>
  <c r="B418337" i="1"/>
  <c r="C418336" i="1"/>
  <c r="B418336" i="1"/>
  <c r="C418335" i="1"/>
  <c r="B418335" i="1"/>
  <c r="C418334" i="1"/>
  <c r="B418334" i="1"/>
  <c r="C418333" i="1"/>
  <c r="B418333" i="1"/>
  <c r="C418332" i="1"/>
  <c r="B418332" i="1"/>
  <c r="C418331" i="1"/>
  <c r="B418331" i="1"/>
  <c r="C418330" i="1"/>
  <c r="B418330" i="1"/>
  <c r="C418329" i="1"/>
  <c r="B418329" i="1"/>
  <c r="C418328" i="1"/>
  <c r="B418328" i="1"/>
  <c r="C418327" i="1"/>
  <c r="B418327" i="1"/>
  <c r="C418326" i="1"/>
  <c r="B418326" i="1"/>
  <c r="C418325" i="1"/>
  <c r="B418325" i="1"/>
  <c r="C418324" i="1"/>
  <c r="B418324" i="1"/>
  <c r="C418323" i="1"/>
  <c r="B418323" i="1"/>
  <c r="C418322" i="1"/>
  <c r="B418322" i="1"/>
  <c r="C418321" i="1"/>
  <c r="B418321" i="1"/>
  <c r="C418320" i="1"/>
  <c r="B418320" i="1"/>
  <c r="C418319" i="1"/>
  <c r="B418319" i="1"/>
  <c r="C418318" i="1"/>
  <c r="B418318" i="1"/>
  <c r="C418317" i="1"/>
  <c r="B418317" i="1"/>
  <c r="C418316" i="1"/>
  <c r="B418316" i="1"/>
  <c r="C418315" i="1"/>
  <c r="B418315" i="1"/>
  <c r="C418314" i="1"/>
  <c r="B418314" i="1"/>
  <c r="C418313" i="1"/>
  <c r="B418313" i="1"/>
  <c r="C418312" i="1"/>
  <c r="B418312" i="1"/>
  <c r="C418311" i="1"/>
  <c r="B418311" i="1"/>
  <c r="C418310" i="1"/>
  <c r="B418310" i="1"/>
  <c r="C418309" i="1"/>
  <c r="B418309" i="1"/>
  <c r="C418308" i="1"/>
  <c r="B418308" i="1"/>
  <c r="C418307" i="1"/>
  <c r="B418307" i="1"/>
  <c r="C418306" i="1"/>
  <c r="B418306" i="1"/>
  <c r="C418305" i="1"/>
  <c r="B418305" i="1"/>
  <c r="C418304" i="1"/>
  <c r="B418304" i="1"/>
  <c r="C418303" i="1"/>
  <c r="B418303" i="1"/>
  <c r="C418302" i="1"/>
  <c r="B418302" i="1"/>
  <c r="C418301" i="1"/>
  <c r="B418301" i="1"/>
  <c r="C418300" i="1"/>
  <c r="B418300" i="1"/>
  <c r="C418299" i="1"/>
  <c r="B418299" i="1"/>
  <c r="C418298" i="1"/>
  <c r="B418298" i="1"/>
  <c r="C418297" i="1"/>
  <c r="B418297" i="1"/>
  <c r="C418296" i="1"/>
  <c r="B418296" i="1"/>
  <c r="C418295" i="1"/>
  <c r="B418295" i="1"/>
  <c r="C418294" i="1"/>
  <c r="B418294" i="1"/>
  <c r="C418293" i="1"/>
  <c r="B418293" i="1"/>
  <c r="C418292" i="1"/>
  <c r="B418292" i="1"/>
  <c r="C418291" i="1"/>
  <c r="B418291" i="1"/>
  <c r="C418290" i="1"/>
  <c r="B418290" i="1"/>
  <c r="C418289" i="1"/>
  <c r="B418289" i="1"/>
  <c r="C418288" i="1"/>
  <c r="B418288" i="1"/>
  <c r="C418287" i="1"/>
  <c r="B418287" i="1"/>
  <c r="C418286" i="1"/>
  <c r="B418286" i="1"/>
  <c r="C418285" i="1"/>
  <c r="B418285" i="1"/>
  <c r="C418284" i="1"/>
  <c r="B418284" i="1"/>
  <c r="C418283" i="1"/>
  <c r="B418283" i="1"/>
  <c r="C418282" i="1"/>
  <c r="B418282" i="1"/>
  <c r="C418281" i="1"/>
  <c r="B418281" i="1"/>
  <c r="C418280" i="1"/>
  <c r="B418280" i="1"/>
  <c r="C418279" i="1"/>
  <c r="B418279" i="1"/>
  <c r="C418278" i="1"/>
  <c r="B418278" i="1"/>
  <c r="C418277" i="1"/>
  <c r="B418277" i="1"/>
  <c r="C418276" i="1"/>
  <c r="B418276" i="1"/>
  <c r="C418275" i="1"/>
  <c r="B418275" i="1"/>
  <c r="C418274" i="1"/>
  <c r="B418274" i="1"/>
  <c r="C418273" i="1"/>
  <c r="B418273" i="1"/>
  <c r="C418272" i="1"/>
  <c r="B418272" i="1"/>
  <c r="C418271" i="1"/>
  <c r="B418271" i="1"/>
  <c r="C418270" i="1"/>
  <c r="B418270" i="1"/>
  <c r="C418269" i="1"/>
  <c r="B418269" i="1"/>
  <c r="C418268" i="1"/>
  <c r="B418268" i="1"/>
  <c r="K418267" i="1"/>
  <c r="K418266" i="1"/>
  <c r="K418265" i="1"/>
  <c r="K418264" i="1"/>
  <c r="K418263" i="1"/>
  <c r="K418262" i="1"/>
  <c r="K418261" i="1"/>
  <c r="K418260" i="1"/>
  <c r="K418259" i="1"/>
  <c r="K418258" i="1"/>
  <c r="K418257" i="1"/>
  <c r="K418256" i="1"/>
  <c r="K418255" i="1"/>
  <c r="K418254" i="1"/>
  <c r="K418253" i="1"/>
  <c r="K418252" i="1"/>
  <c r="K418251" i="1"/>
  <c r="K418250" i="1"/>
  <c r="K418249" i="1"/>
  <c r="K418248" i="1"/>
  <c r="K418247" i="1"/>
  <c r="K418246" i="1"/>
  <c r="K418245" i="1"/>
  <c r="K418244" i="1"/>
  <c r="K418243" i="1"/>
  <c r="K418242" i="1"/>
  <c r="K418241" i="1"/>
  <c r="K418240" i="1"/>
  <c r="K418239" i="1"/>
  <c r="K418238" i="1"/>
  <c r="K418237" i="1"/>
  <c r="K418236" i="1"/>
  <c r="K418235" i="1"/>
  <c r="K418234" i="1"/>
  <c r="K418233" i="1"/>
  <c r="K418232" i="1"/>
  <c r="K418231" i="1"/>
  <c r="K418230" i="1"/>
  <c r="K418229" i="1"/>
  <c r="K418228" i="1"/>
  <c r="K418227" i="1"/>
  <c r="K418226" i="1"/>
  <c r="K418225" i="1"/>
  <c r="K418224" i="1"/>
  <c r="K418223" i="1"/>
  <c r="K418222" i="1"/>
  <c r="K418221" i="1"/>
  <c r="K418220" i="1"/>
  <c r="K418219" i="1"/>
  <c r="K418218" i="1"/>
  <c r="K418217" i="1"/>
  <c r="K418216" i="1"/>
  <c r="K418215" i="1"/>
  <c r="K418214" i="1"/>
  <c r="K418213" i="1"/>
  <c r="K418212" i="1"/>
  <c r="K418211" i="1"/>
  <c r="K418210" i="1"/>
  <c r="K418209" i="1"/>
  <c r="K418208" i="1"/>
  <c r="K418207" i="1"/>
  <c r="K418206" i="1"/>
  <c r="K418205" i="1"/>
  <c r="K418204" i="1"/>
  <c r="K418203" i="1"/>
  <c r="K418202" i="1"/>
  <c r="K418201" i="1"/>
  <c r="K418200" i="1"/>
  <c r="K418199" i="1"/>
  <c r="K418198" i="1"/>
  <c r="K418197" i="1"/>
  <c r="K418196" i="1"/>
  <c r="K418195" i="1"/>
  <c r="K418194" i="1"/>
  <c r="K418193" i="1"/>
  <c r="K418192" i="1"/>
  <c r="K418191" i="1"/>
  <c r="K418190" i="1"/>
  <c r="K418189" i="1"/>
  <c r="K418188" i="1"/>
  <c r="K418187" i="1"/>
  <c r="K418186" i="1"/>
  <c r="K418185" i="1"/>
  <c r="K418184" i="1"/>
  <c r="K418183" i="1"/>
  <c r="K418182" i="1"/>
  <c r="K418181" i="1"/>
  <c r="K418180" i="1"/>
  <c r="K418179" i="1"/>
  <c r="K418178" i="1"/>
  <c r="K418177" i="1"/>
  <c r="K418176" i="1"/>
  <c r="K418175" i="1"/>
  <c r="K418174" i="1"/>
  <c r="K418173" i="1"/>
  <c r="K418172" i="1"/>
  <c r="K418171" i="1"/>
  <c r="K418170" i="1"/>
  <c r="K418169" i="1"/>
  <c r="K418168" i="1"/>
  <c r="K418167" i="1"/>
  <c r="K418166" i="1"/>
  <c r="K418165" i="1"/>
  <c r="K418164" i="1"/>
  <c r="K418163" i="1"/>
  <c r="K418162" i="1"/>
  <c r="K418161" i="1"/>
  <c r="K418160" i="1"/>
  <c r="K418159" i="1"/>
  <c r="K418158" i="1"/>
  <c r="K418157" i="1"/>
  <c r="K418156" i="1"/>
  <c r="K418155" i="1"/>
  <c r="K418154" i="1"/>
  <c r="K418153" i="1"/>
  <c r="K418152" i="1"/>
  <c r="K418151" i="1"/>
  <c r="K418150" i="1"/>
  <c r="K418149" i="1"/>
  <c r="C418267" i="1"/>
  <c r="B418267" i="1"/>
  <c r="C418266" i="1"/>
  <c r="B418266" i="1"/>
  <c r="C418265" i="1"/>
  <c r="B418265" i="1"/>
  <c r="C418264" i="1"/>
  <c r="B418264" i="1"/>
  <c r="C418263" i="1"/>
  <c r="B418263" i="1"/>
  <c r="C418262" i="1"/>
  <c r="B418262" i="1"/>
  <c r="C418261" i="1"/>
  <c r="B418261" i="1"/>
  <c r="C418260" i="1"/>
  <c r="B418260" i="1"/>
  <c r="C418259" i="1"/>
  <c r="B418259" i="1"/>
  <c r="C418258" i="1"/>
  <c r="B418258" i="1"/>
  <c r="C418257" i="1"/>
  <c r="B418257" i="1"/>
  <c r="C418256" i="1"/>
  <c r="B418256" i="1"/>
  <c r="C418255" i="1"/>
  <c r="B418255" i="1"/>
  <c r="C418254" i="1"/>
  <c r="B418254" i="1"/>
  <c r="C418253" i="1"/>
  <c r="B418253" i="1"/>
  <c r="C418252" i="1"/>
  <c r="B418252" i="1"/>
  <c r="C418251" i="1"/>
  <c r="B418251" i="1"/>
  <c r="C418250" i="1"/>
  <c r="B418250" i="1"/>
  <c r="C418249" i="1"/>
  <c r="B418249" i="1"/>
  <c r="C418248" i="1"/>
  <c r="B418248" i="1"/>
  <c r="C418247" i="1"/>
  <c r="B418247" i="1"/>
  <c r="C418246" i="1"/>
  <c r="B418246" i="1"/>
  <c r="C418245" i="1"/>
  <c r="B418245" i="1"/>
  <c r="C418244" i="1"/>
  <c r="B418244" i="1"/>
  <c r="C418243" i="1"/>
  <c r="B418243" i="1"/>
  <c r="C418242" i="1"/>
  <c r="B418242" i="1"/>
  <c r="C418241" i="1"/>
  <c r="B418241" i="1"/>
  <c r="C418240" i="1"/>
  <c r="B418240" i="1"/>
  <c r="C418239" i="1"/>
  <c r="B418239" i="1"/>
  <c r="C418238" i="1"/>
  <c r="B418238" i="1"/>
  <c r="C418237" i="1"/>
  <c r="B418237" i="1"/>
  <c r="C418236" i="1"/>
  <c r="B418236" i="1"/>
  <c r="C418235" i="1"/>
  <c r="B418235" i="1"/>
  <c r="C418234" i="1"/>
  <c r="B418234" i="1"/>
  <c r="C418233" i="1"/>
  <c r="B418233" i="1"/>
  <c r="C418232" i="1"/>
  <c r="B418232" i="1"/>
  <c r="C418231" i="1"/>
  <c r="B418231" i="1"/>
  <c r="C418230" i="1"/>
  <c r="B418230" i="1"/>
  <c r="C418229" i="1"/>
  <c r="B418229" i="1"/>
  <c r="C418228" i="1"/>
  <c r="B418228" i="1"/>
  <c r="C418227" i="1"/>
  <c r="B418227" i="1"/>
  <c r="C418226" i="1"/>
  <c r="B418226" i="1"/>
  <c r="C418225" i="1"/>
  <c r="B418225" i="1"/>
  <c r="C418224" i="1"/>
  <c r="B418224" i="1"/>
  <c r="C418223" i="1"/>
  <c r="B418223" i="1"/>
  <c r="C418222" i="1"/>
  <c r="B418222" i="1"/>
  <c r="C418221" i="1"/>
  <c r="B418221" i="1"/>
  <c r="C418220" i="1"/>
  <c r="B418220" i="1"/>
  <c r="C418219" i="1"/>
  <c r="B418219" i="1"/>
  <c r="C418218" i="1"/>
  <c r="B418218" i="1"/>
  <c r="C418217" i="1"/>
  <c r="B418217" i="1"/>
  <c r="C418216" i="1"/>
  <c r="B418216" i="1"/>
  <c r="C418215" i="1"/>
  <c r="B418215" i="1"/>
  <c r="C418214" i="1"/>
  <c r="B418214" i="1"/>
  <c r="C418213" i="1"/>
  <c r="B418213" i="1"/>
  <c r="C418212" i="1"/>
  <c r="B418212" i="1"/>
  <c r="C418211" i="1"/>
  <c r="B418211" i="1"/>
  <c r="C418210" i="1"/>
  <c r="B418210" i="1"/>
  <c r="C418209" i="1"/>
  <c r="B418209" i="1"/>
  <c r="C418208" i="1"/>
  <c r="B418208" i="1"/>
  <c r="C418207" i="1"/>
  <c r="B418207" i="1"/>
  <c r="C418206" i="1"/>
  <c r="B418206" i="1"/>
  <c r="C418205" i="1"/>
  <c r="B418205" i="1"/>
  <c r="C418204" i="1"/>
  <c r="B418204" i="1"/>
  <c r="C418203" i="1"/>
  <c r="B418203" i="1"/>
  <c r="C418202" i="1"/>
  <c r="B418202" i="1"/>
  <c r="C418201" i="1"/>
  <c r="B418201" i="1"/>
  <c r="C418200" i="1"/>
  <c r="B418200" i="1"/>
  <c r="C418199" i="1"/>
  <c r="B418199" i="1"/>
  <c r="C418198" i="1"/>
  <c r="B418198" i="1"/>
  <c r="C418197" i="1"/>
  <c r="B418197" i="1"/>
  <c r="C418196" i="1"/>
  <c r="B418196" i="1"/>
  <c r="C418195" i="1"/>
  <c r="B418195" i="1"/>
  <c r="C418194" i="1"/>
  <c r="B418194" i="1"/>
  <c r="C418193" i="1"/>
  <c r="B418193" i="1"/>
  <c r="C418192" i="1"/>
  <c r="B418192" i="1"/>
  <c r="C418191" i="1"/>
  <c r="B418191" i="1"/>
  <c r="C418190" i="1"/>
  <c r="B418190" i="1"/>
  <c r="C418189" i="1"/>
  <c r="B418189" i="1"/>
  <c r="C418188" i="1"/>
  <c r="B418188" i="1"/>
  <c r="C418187" i="1"/>
  <c r="B418187" i="1"/>
  <c r="C418186" i="1"/>
  <c r="B418186" i="1"/>
  <c r="C418185" i="1"/>
  <c r="B418185" i="1"/>
  <c r="C418184" i="1"/>
  <c r="B418184" i="1"/>
  <c r="C418183" i="1"/>
  <c r="B418183" i="1"/>
  <c r="C418182" i="1"/>
  <c r="B418182" i="1"/>
  <c r="C418181" i="1"/>
  <c r="B418181" i="1"/>
  <c r="C418180" i="1"/>
  <c r="B418180" i="1"/>
  <c r="C418179" i="1"/>
  <c r="B418179" i="1"/>
  <c r="C418178" i="1"/>
  <c r="B418178" i="1"/>
  <c r="C418177" i="1"/>
  <c r="B418177" i="1"/>
  <c r="C418176" i="1"/>
  <c r="B418176" i="1"/>
  <c r="C418175" i="1"/>
  <c r="B418175" i="1"/>
  <c r="C418174" i="1"/>
  <c r="B418174" i="1"/>
  <c r="C418173" i="1"/>
  <c r="B418173" i="1"/>
  <c r="C418172" i="1"/>
  <c r="B418172" i="1"/>
  <c r="C418171" i="1"/>
  <c r="B418171" i="1"/>
  <c r="C418170" i="1"/>
  <c r="B418170" i="1"/>
  <c r="C418169" i="1"/>
  <c r="B418169" i="1"/>
  <c r="C418168" i="1"/>
  <c r="B418168" i="1"/>
  <c r="C418167" i="1"/>
  <c r="B418167" i="1"/>
  <c r="C418166" i="1"/>
  <c r="B418166" i="1"/>
  <c r="C418165" i="1"/>
  <c r="B418165" i="1"/>
  <c r="C418164" i="1"/>
  <c r="B418164" i="1"/>
  <c r="C418163" i="1"/>
  <c r="B418163" i="1"/>
  <c r="C418162" i="1"/>
  <c r="B418162" i="1"/>
  <c r="C418161" i="1"/>
  <c r="B418161" i="1"/>
  <c r="C418160" i="1"/>
  <c r="B418160" i="1"/>
  <c r="C418159" i="1"/>
  <c r="B418159" i="1"/>
  <c r="C418158" i="1"/>
  <c r="B418158" i="1"/>
  <c r="C418157" i="1"/>
  <c r="B418157" i="1"/>
  <c r="C418156" i="1"/>
  <c r="B418156" i="1"/>
  <c r="C418155" i="1"/>
  <c r="B418155" i="1"/>
  <c r="C418154" i="1"/>
  <c r="B418154" i="1"/>
  <c r="C418153" i="1"/>
  <c r="B418153" i="1"/>
  <c r="C418152" i="1"/>
  <c r="B418152" i="1"/>
  <c r="C418151" i="1"/>
  <c r="B418151" i="1"/>
  <c r="C418150" i="1"/>
  <c r="B418150" i="1"/>
  <c r="C418149" i="1"/>
  <c r="B418149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H4" i="10" l="1"/>
  <c r="H11" i="10"/>
  <c r="H10" i="10"/>
  <c r="H9" i="10"/>
  <c r="H8" i="10"/>
  <c r="H7" i="10"/>
  <c r="H6" i="10"/>
  <c r="H3" i="10"/>
  <c r="H5" i="10"/>
  <c r="H12" i="10"/>
  <c r="S17" i="10"/>
  <c r="AC21" i="10"/>
  <c r="C16" i="10"/>
  <c r="X6" i="10"/>
  <c r="AA5" i="10"/>
  <c r="S18" i="10"/>
  <c r="W5" i="10"/>
  <c r="O15" i="10"/>
  <c r="S9" i="10"/>
  <c r="X5" i="10"/>
  <c r="S8" i="10"/>
  <c r="N15" i="10"/>
  <c r="Y6" i="10"/>
  <c r="B5" i="10"/>
  <c r="AC9" i="10"/>
  <c r="S5" i="10"/>
  <c r="AC5" i="10"/>
  <c r="G20" i="10"/>
  <c r="S23" i="10"/>
  <c r="AC8" i="10"/>
  <c r="AC4" i="10"/>
  <c r="S21" i="10"/>
  <c r="S7" i="10"/>
  <c r="AC19" i="10"/>
  <c r="H20" i="10"/>
  <c r="S19" i="10"/>
  <c r="B17" i="10"/>
  <c r="S10" i="10"/>
  <c r="L16" i="10"/>
  <c r="H19" i="10"/>
  <c r="V24" i="10"/>
  <c r="AC2" i="10"/>
  <c r="S3" i="10"/>
  <c r="S16" i="10"/>
  <c r="S2" i="10"/>
  <c r="S15" i="10"/>
  <c r="AC23" i="10"/>
  <c r="S11" i="10"/>
  <c r="S24" i="10"/>
  <c r="X10" i="10"/>
  <c r="G11" i="10"/>
  <c r="AC15" i="10"/>
  <c r="AB5" i="10"/>
  <c r="Z24" i="10"/>
  <c r="AA19" i="10"/>
  <c r="G10" i="10"/>
  <c r="G21" i="10"/>
  <c r="X9" i="10"/>
  <c r="V22" i="10"/>
  <c r="W4" i="10"/>
  <c r="W22" i="10"/>
  <c r="B4" i="10"/>
  <c r="B16" i="10"/>
  <c r="C15" i="10"/>
  <c r="O2" i="10"/>
  <c r="G8" i="10"/>
  <c r="M8" i="10"/>
  <c r="C9" i="10"/>
  <c r="B12" i="10"/>
  <c r="C20" i="10"/>
  <c r="N11" i="10"/>
  <c r="X8" i="10"/>
  <c r="V3" i="10"/>
  <c r="AB24" i="10"/>
  <c r="X4" i="10"/>
  <c r="C24" i="10"/>
  <c r="C8" i="10"/>
  <c r="B24" i="10"/>
  <c r="G18" i="10"/>
  <c r="V4" i="10"/>
  <c r="B11" i="10"/>
  <c r="C7" i="10"/>
  <c r="B23" i="10"/>
  <c r="C19" i="10"/>
  <c r="H23" i="10"/>
  <c r="M11" i="10"/>
  <c r="S6" i="10"/>
  <c r="S22" i="10"/>
  <c r="AC11" i="10"/>
  <c r="AC7" i="10"/>
  <c r="AC3" i="10"/>
  <c r="AA18" i="10"/>
  <c r="X15" i="10"/>
  <c r="M9" i="10"/>
  <c r="G9" i="10"/>
  <c r="G19" i="10"/>
  <c r="G7" i="10"/>
  <c r="B7" i="10"/>
  <c r="C18" i="10"/>
  <c r="H22" i="10"/>
  <c r="X11" i="10"/>
  <c r="X7" i="10"/>
  <c r="AB15" i="10"/>
  <c r="Z5" i="10"/>
  <c r="L15" i="10"/>
  <c r="C3" i="10"/>
  <c r="C6" i="10"/>
  <c r="B22" i="10"/>
  <c r="B6" i="10"/>
  <c r="C5" i="10"/>
  <c r="B18" i="10"/>
  <c r="C17" i="10"/>
  <c r="H21" i="10"/>
  <c r="M10" i="10"/>
  <c r="S4" i="10"/>
  <c r="S20" i="10"/>
  <c r="AC10" i="10"/>
  <c r="AC6" i="10"/>
  <c r="AC24" i="10"/>
  <c r="X2" i="10"/>
  <c r="AB2" i="10"/>
  <c r="Q2" i="10"/>
  <c r="Z2" i="10"/>
  <c r="C12" i="10"/>
  <c r="G17" i="10"/>
  <c r="R8" i="10"/>
  <c r="R6" i="10"/>
  <c r="R3" i="10"/>
  <c r="R24" i="10"/>
  <c r="R23" i="10"/>
  <c r="R22" i="10"/>
  <c r="R21" i="10"/>
  <c r="R20" i="10"/>
  <c r="R19" i="10"/>
  <c r="R18" i="10"/>
  <c r="R17" i="10"/>
  <c r="R16" i="10"/>
  <c r="Y2" i="10"/>
  <c r="W11" i="10"/>
  <c r="W10" i="10"/>
  <c r="W9" i="10"/>
  <c r="W8" i="10"/>
  <c r="W7" i="10"/>
  <c r="W6" i="10"/>
  <c r="V5" i="10"/>
  <c r="AA15" i="10"/>
  <c r="W18" i="10"/>
  <c r="G6" i="10"/>
  <c r="G15" i="10"/>
  <c r="R10" i="10"/>
  <c r="R7" i="10"/>
  <c r="R5" i="10"/>
  <c r="G3" i="10"/>
  <c r="G5" i="10"/>
  <c r="G24" i="10"/>
  <c r="H18" i="10"/>
  <c r="Q11" i="10"/>
  <c r="Q10" i="10"/>
  <c r="Q9" i="10"/>
  <c r="Q8" i="10"/>
  <c r="Q7" i="10"/>
  <c r="Q6" i="10"/>
  <c r="Q5" i="10"/>
  <c r="Q4" i="10"/>
  <c r="Q3" i="10"/>
  <c r="R15" i="10"/>
  <c r="Q24" i="10"/>
  <c r="Q23" i="10"/>
  <c r="Q22" i="10"/>
  <c r="Q21" i="10"/>
  <c r="Q20" i="10"/>
  <c r="Q19" i="10"/>
  <c r="Q18" i="10"/>
  <c r="Q17" i="10"/>
  <c r="Q16" i="10"/>
  <c r="W2" i="10"/>
  <c r="V11" i="10"/>
  <c r="V10" i="10"/>
  <c r="V9" i="10"/>
  <c r="V8" i="10"/>
  <c r="V7" i="10"/>
  <c r="V6" i="10"/>
  <c r="AB3" i="10"/>
  <c r="AA23" i="10"/>
  <c r="AA21" i="10"/>
  <c r="V18" i="10"/>
  <c r="B10" i="10"/>
  <c r="C4" i="10"/>
  <c r="B21" i="10"/>
  <c r="C23" i="10"/>
  <c r="R11" i="10"/>
  <c r="R9" i="10"/>
  <c r="R4" i="10"/>
  <c r="B9" i="10"/>
  <c r="C11" i="10"/>
  <c r="B20" i="10"/>
  <c r="C22" i="10"/>
  <c r="G16" i="10"/>
  <c r="B8" i="10"/>
  <c r="C10" i="10"/>
  <c r="G12" i="10"/>
  <c r="G4" i="10"/>
  <c r="B19" i="10"/>
  <c r="C21" i="10"/>
  <c r="G23" i="10"/>
  <c r="H15" i="10"/>
  <c r="H17" i="10"/>
  <c r="P11" i="10"/>
  <c r="P10" i="10"/>
  <c r="P9" i="10"/>
  <c r="P8" i="10"/>
  <c r="P7" i="10"/>
  <c r="P6" i="10"/>
  <c r="P5" i="10"/>
  <c r="P4" i="10"/>
  <c r="P3" i="10"/>
  <c r="Q15" i="10"/>
  <c r="P24" i="10"/>
  <c r="P23" i="10"/>
  <c r="P22" i="10"/>
  <c r="P21" i="10"/>
  <c r="P20" i="10"/>
  <c r="P19" i="10"/>
  <c r="P18" i="10"/>
  <c r="P17" i="10"/>
  <c r="P16" i="10"/>
  <c r="AB4" i="10"/>
  <c r="AA3" i="10"/>
  <c r="W15" i="10"/>
  <c r="Z23" i="10"/>
  <c r="AA20" i="10"/>
  <c r="AC17" i="10"/>
  <c r="G22" i="10"/>
  <c r="H24" i="10"/>
  <c r="H16" i="10"/>
  <c r="O11" i="10"/>
  <c r="O10" i="10"/>
  <c r="O9" i="10"/>
  <c r="O8" i="10"/>
  <c r="O7" i="10"/>
  <c r="O6" i="10"/>
  <c r="O5" i="10"/>
  <c r="O4" i="10"/>
  <c r="O3" i="10"/>
  <c r="P15" i="10"/>
  <c r="O24" i="10"/>
  <c r="O23" i="10"/>
  <c r="O22" i="10"/>
  <c r="O21" i="10"/>
  <c r="O20" i="10"/>
  <c r="O19" i="10"/>
  <c r="O18" i="10"/>
  <c r="O17" i="10"/>
  <c r="O16" i="10"/>
  <c r="AB11" i="10"/>
  <c r="AB10" i="10"/>
  <c r="AB9" i="10"/>
  <c r="AB8" i="10"/>
  <c r="AB7" i="10"/>
  <c r="AB6" i="10"/>
  <c r="AA4" i="10"/>
  <c r="Z3" i="10"/>
  <c r="Y23" i="10"/>
  <c r="W20" i="10"/>
  <c r="W16" i="10"/>
  <c r="AB23" i="10"/>
  <c r="Y15" i="10"/>
  <c r="X24" i="10"/>
  <c r="X23" i="10"/>
  <c r="AA16" i="10"/>
  <c r="Z21" i="10"/>
  <c r="AB22" i="10"/>
  <c r="Y5" i="10"/>
  <c r="W17" i="10"/>
  <c r="N10" i="10"/>
  <c r="N9" i="10"/>
  <c r="N8" i="10"/>
  <c r="N7" i="10"/>
  <c r="N6" i="10"/>
  <c r="N5" i="10"/>
  <c r="N4" i="10"/>
  <c r="N3" i="10"/>
  <c r="N24" i="10"/>
  <c r="N23" i="10"/>
  <c r="N22" i="10"/>
  <c r="N21" i="10"/>
  <c r="N20" i="10"/>
  <c r="N19" i="10"/>
  <c r="N18" i="10"/>
  <c r="N17" i="10"/>
  <c r="N16" i="10"/>
  <c r="AA11" i="10"/>
  <c r="AA10" i="10"/>
  <c r="AA9" i="10"/>
  <c r="AA8" i="10"/>
  <c r="AA7" i="10"/>
  <c r="AA6" i="10"/>
  <c r="Z4" i="10"/>
  <c r="X3" i="10"/>
  <c r="W23" i="10"/>
  <c r="V20" i="10"/>
  <c r="V16" i="10"/>
  <c r="M7" i="10"/>
  <c r="M6" i="10"/>
  <c r="M5" i="10"/>
  <c r="M4" i="10"/>
  <c r="M3" i="10"/>
  <c r="M24" i="10"/>
  <c r="M23" i="10"/>
  <c r="M22" i="10"/>
  <c r="M21" i="10"/>
  <c r="M20" i="10"/>
  <c r="M19" i="10"/>
  <c r="M18" i="10"/>
  <c r="M17" i="10"/>
  <c r="M16" i="10"/>
  <c r="Z11" i="10"/>
  <c r="Z10" i="10"/>
  <c r="Z9" i="10"/>
  <c r="Z8" i="10"/>
  <c r="Z7" i="10"/>
  <c r="Z6" i="10"/>
  <c r="W3" i="10"/>
  <c r="AA24" i="10"/>
  <c r="Z22" i="10"/>
  <c r="AC16" i="10"/>
  <c r="M2" i="10"/>
  <c r="L11" i="10"/>
  <c r="L10" i="10"/>
  <c r="L9" i="10"/>
  <c r="L8" i="10"/>
  <c r="L7" i="10"/>
  <c r="L6" i="10"/>
  <c r="L5" i="10"/>
  <c r="L4" i="10"/>
  <c r="L3" i="10"/>
  <c r="M15" i="10"/>
  <c r="L24" i="10"/>
  <c r="L23" i="10"/>
  <c r="L22" i="10"/>
  <c r="L21" i="10"/>
  <c r="L20" i="10"/>
  <c r="L19" i="10"/>
  <c r="L18" i="10"/>
  <c r="L17" i="10"/>
  <c r="Y11" i="10"/>
  <c r="Y10" i="10"/>
  <c r="Y9" i="10"/>
  <c r="Y8" i="10"/>
  <c r="Y7" i="10"/>
  <c r="B3" i="10"/>
  <c r="B15" i="10"/>
  <c r="L2" i="10"/>
  <c r="V2" i="10"/>
  <c r="R2" i="10"/>
  <c r="AA2" i="10"/>
  <c r="P2" i="10"/>
  <c r="V15" i="10"/>
  <c r="N2" i="10"/>
  <c r="X16" i="10"/>
  <c r="AA17" i="10"/>
  <c r="Y24" i="10"/>
  <c r="V23" i="10"/>
  <c r="W21" i="10"/>
  <c r="W19" i="10"/>
  <c r="Y4" i="10"/>
  <c r="Y3" i="10"/>
  <c r="Z15" i="10"/>
  <c r="W24" i="10"/>
  <c r="AC22" i="10"/>
  <c r="V21" i="10"/>
  <c r="V19" i="10"/>
  <c r="V17" i="10"/>
  <c r="AA22" i="10"/>
  <c r="AC20" i="10"/>
  <c r="AC18" i="10"/>
  <c r="AB21" i="10"/>
  <c r="AB20" i="10"/>
  <c r="AB19" i="10"/>
  <c r="AB18" i="10"/>
  <c r="AB17" i="10"/>
  <c r="AB16" i="10"/>
  <c r="Z20" i="10"/>
  <c r="Z19" i="10"/>
  <c r="Z18" i="10"/>
  <c r="Z17" i="10"/>
  <c r="Z16" i="10"/>
  <c r="Y22" i="10"/>
  <c r="Y21" i="10"/>
  <c r="Y20" i="10"/>
  <c r="Y19" i="10"/>
  <c r="Y18" i="10"/>
  <c r="Y17" i="10"/>
  <c r="Y16" i="10"/>
  <c r="X22" i="10"/>
  <c r="X21" i="10"/>
  <c r="X20" i="10"/>
  <c r="X19" i="10"/>
  <c r="X18" i="10"/>
  <c r="X17" i="10"/>
</calcChain>
</file>

<file path=xl/sharedStrings.xml><?xml version="1.0" encoding="utf-8"?>
<sst xmlns="http://schemas.openxmlformats.org/spreadsheetml/2006/main" count="9715" uniqueCount="80">
  <si>
    <t>DATE</t>
  </si>
  <si>
    <t>MONTH - FÓRMULA NÃO ALTERAR</t>
  </si>
  <si>
    <t>WEEK_OF_MONTH - FÓRMULA NÃO ALTERAR</t>
  </si>
  <si>
    <t>BRANCH</t>
  </si>
  <si>
    <t>DIVISION</t>
  </si>
  <si>
    <t>SERVICE_TYPE</t>
  </si>
  <si>
    <t>SHIPMENTS</t>
  </si>
  <si>
    <t>KG</t>
  </si>
  <si>
    <t>TEUs</t>
  </si>
  <si>
    <t>CBM</t>
  </si>
  <si>
    <t>YEAR - FÓRMULA NÃO ALTERAR</t>
  </si>
  <si>
    <t>TYPE OF OP</t>
  </si>
  <si>
    <t>TYPE</t>
  </si>
  <si>
    <t>SAO</t>
  </si>
  <si>
    <t>SEA</t>
  </si>
  <si>
    <t>CONSOLIDADA</t>
  </si>
  <si>
    <t>EXPO</t>
  </si>
  <si>
    <t>LCL</t>
  </si>
  <si>
    <t>CPQ</t>
  </si>
  <si>
    <t>CWB</t>
  </si>
  <si>
    <t>RIO</t>
  </si>
  <si>
    <t>POA</t>
  </si>
  <si>
    <t>COLOADER</t>
  </si>
  <si>
    <t>ITJ</t>
  </si>
  <si>
    <t>MAO</t>
  </si>
  <si>
    <t>IMPO</t>
  </si>
  <si>
    <t>REC</t>
  </si>
  <si>
    <t>BranchList</t>
  </si>
  <si>
    <t>WeekList</t>
  </si>
  <si>
    <t>DivisionList</t>
  </si>
  <si>
    <t>AirTypes</t>
  </si>
  <si>
    <t>FclTypes</t>
  </si>
  <si>
    <t>LclTypes</t>
  </si>
  <si>
    <t>CurrentYear</t>
  </si>
  <si>
    <t>CompareYear</t>
  </si>
  <si>
    <t>WEEK 5</t>
  </si>
  <si>
    <t>AIR</t>
  </si>
  <si>
    <t>LSE</t>
  </si>
  <si>
    <t>EMBARQUE DIRETO</t>
  </si>
  <si>
    <t>WEEK 6</t>
  </si>
  <si>
    <t>FCL</t>
  </si>
  <si>
    <t>OTH</t>
  </si>
  <si>
    <t>EMBARQUE DSV</t>
  </si>
  <si>
    <t>WEEK 7</t>
  </si>
  <si>
    <t>WEEK 8</t>
  </si>
  <si>
    <t>WEEK 9</t>
  </si>
  <si>
    <t>WEEK 10</t>
  </si>
  <si>
    <t>WEEK 11</t>
  </si>
  <si>
    <t>SSA</t>
  </si>
  <si>
    <t>TOTAL</t>
  </si>
  <si>
    <t>LEGENDAS - RAW DATA</t>
  </si>
  <si>
    <t>MODAL</t>
  </si>
  <si>
    <t>AEREO</t>
  </si>
  <si>
    <t>COLUNA A</t>
  </si>
  <si>
    <t>DATA</t>
  </si>
  <si>
    <t>COLUNA B</t>
  </si>
  <si>
    <t>FÓRMULA NÃO MEXER</t>
  </si>
  <si>
    <t>COLUNA C</t>
  </si>
  <si>
    <t>COLUNA D</t>
  </si>
  <si>
    <t>COLUNA E</t>
  </si>
  <si>
    <t>DIVISÃO</t>
  </si>
  <si>
    <t>COLUNA F</t>
  </si>
  <si>
    <t>LSE/OTH</t>
  </si>
  <si>
    <t>EMBARQUE DIRETO OU EMBARQUE DSV</t>
  </si>
  <si>
    <t>COLOADER OU CONSOLIDADA</t>
  </si>
  <si>
    <t>COLUNA G</t>
  </si>
  <si>
    <t>NÚMERO DE EMBARQUES</t>
  </si>
  <si>
    <t>COLUNA H</t>
  </si>
  <si>
    <t>-</t>
  </si>
  <si>
    <t>COLUNA I</t>
  </si>
  <si>
    <t>COLUNA J</t>
  </si>
  <si>
    <t>COLUNA K</t>
  </si>
  <si>
    <t>COLUNA L</t>
  </si>
  <si>
    <t>IMPO OU EXPO</t>
  </si>
  <si>
    <t>COLUNA M</t>
  </si>
  <si>
    <t>EMBARQUES IMPO (2025 vs 2026)</t>
  </si>
  <si>
    <t>EMBARQUES EXPO (2025 vs 2026)</t>
  </si>
  <si>
    <t>Week</t>
  </si>
  <si>
    <t>Coloader</t>
  </si>
  <si>
    <t>Consolidada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</si>
</sst>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d\-mmm\-yy;@"/>
  </numFmts>
  <fonts count="3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1"/>
      <scheme val="minor"/>
    </font>
    <font>
      <b/>
      <sz val="18"/>
      <color indexed="56"/>
      <name val="Cambria"/>
      <family val="1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7">
    <fill>
      <patternFill patternType="none"/>
    </fill>
    <fill>
      <patternFill patternType="gray125"/>
    </fill>
    <fill>
      <patternFill patternType="solid">
        <fgColor rgb="FF0B2F6A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1">
    <xf numFmtId="0" fontId="0" fillId="0" borderId="0"/>
    <xf numFmtId="0" fontId="3" fillId="0" borderId="0"/>
    <xf numFmtId="0" fontId="5" fillId="0" borderId="0"/>
    <xf numFmtId="0" fontId="5" fillId="0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11" borderId="0"/>
    <xf numFmtId="0" fontId="4" fillId="6" borderId="0"/>
    <xf numFmtId="0" fontId="4" fillId="9" borderId="0"/>
    <xf numFmtId="0" fontId="4" fillId="12" borderId="0"/>
    <xf numFmtId="0" fontId="7" fillId="13" borderId="0"/>
    <xf numFmtId="0" fontId="7" fillId="10" borderId="0"/>
    <xf numFmtId="0" fontId="7" fillId="11" borderId="0"/>
    <xf numFmtId="0" fontId="7" fillId="14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14" borderId="0"/>
    <xf numFmtId="0" fontId="7" fillId="15" borderId="0"/>
    <xf numFmtId="0" fontId="7" fillId="20" borderId="0"/>
    <xf numFmtId="0" fontId="8" fillId="4" borderId="0"/>
    <xf numFmtId="0" fontId="9" fillId="21" borderId="2"/>
    <xf numFmtId="0" fontId="10" fillId="22" borderId="3"/>
    <xf numFmtId="164" fontId="5" fillId="0" borderId="0"/>
    <xf numFmtId="0" fontId="11" fillId="0" borderId="0"/>
    <xf numFmtId="0" fontId="12" fillId="5" borderId="0"/>
    <xf numFmtId="0" fontId="13" fillId="0" borderId="4"/>
    <xf numFmtId="0" fontId="14" fillId="0" borderId="5"/>
    <xf numFmtId="0" fontId="15" fillId="0" borderId="6"/>
    <xf numFmtId="0" fontId="15" fillId="0" borderId="0"/>
    <xf numFmtId="0" fontId="16" fillId="8" borderId="2"/>
    <xf numFmtId="0" fontId="17" fillId="0" borderId="7"/>
    <xf numFmtId="0" fontId="18" fillId="23" borderId="0"/>
    <xf numFmtId="0" fontId="5" fillId="0" borderId="0"/>
    <xf numFmtId="0" fontId="6" fillId="0" borderId="0"/>
    <xf numFmtId="0" fontId="3" fillId="0" borderId="0"/>
    <xf numFmtId="0" fontId="5" fillId="0" borderId="0"/>
    <xf numFmtId="0" fontId="6" fillId="24" borderId="8"/>
    <xf numFmtId="0" fontId="19" fillId="21" borderId="9"/>
    <xf numFmtId="0" fontId="20" fillId="0" borderId="0"/>
    <xf numFmtId="0" fontId="21" fillId="0" borderId="10"/>
    <xf numFmtId="0" fontId="22" fillId="0" borderId="0"/>
    <xf numFmtId="0" fontId="6" fillId="0" borderId="0"/>
    <xf numFmtId="164" fontId="4" fillId="0" borderId="0"/>
    <xf numFmtId="0" fontId="5" fillId="0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11" borderId="0"/>
    <xf numFmtId="0" fontId="4" fillId="6" borderId="0"/>
    <xf numFmtId="0" fontId="4" fillId="9" borderId="0"/>
    <xf numFmtId="0" fontId="4" fillId="12" borderId="0"/>
    <xf numFmtId="164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7" fillId="25" borderId="0" xfId="0" applyFont="1" applyFill="1"/>
    <xf numFmtId="0" fontId="1" fillId="2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right" vertical="top"/>
    </xf>
    <xf numFmtId="0" fontId="0" fillId="0" borderId="0" xfId="0" applyAlignment="1">
      <alignment vertical="center"/>
    </xf>
    <xf numFmtId="0" fontId="2" fillId="0" borderId="0" xfId="580" applyFont="1" applyAlignment="1">
      <alignment vertical="top"/>
    </xf>
    <xf numFmtId="0" fontId="0" fillId="26" borderId="0" xfId="0" applyFill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7" fillId="2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581">
    <cellStyle name="20% - Accent1 2" xfId="4" xr:uid="{00000000-0005-0000-0000-000004000000}"/>
    <cellStyle name="20% - Accent1 2 10" xfId="53" xr:uid="{00000000-0005-0000-0000-000035000000}"/>
    <cellStyle name="20% - Accent1 2 11" xfId="54" xr:uid="{00000000-0005-0000-0000-000036000000}"/>
    <cellStyle name="20% - Accent1 2 12" xfId="55" xr:uid="{00000000-0005-0000-0000-000037000000}"/>
    <cellStyle name="20% - Accent1 2 13" xfId="56" xr:uid="{00000000-0005-0000-0000-000038000000}"/>
    <cellStyle name="20% - Accent1 2 14" xfId="57" xr:uid="{00000000-0005-0000-0000-000039000000}"/>
    <cellStyle name="20% - Accent1 2 2" xfId="58" xr:uid="{00000000-0005-0000-0000-00003A000000}"/>
    <cellStyle name="20% - Accent1 2 3" xfId="59" xr:uid="{00000000-0005-0000-0000-00003B000000}"/>
    <cellStyle name="20% - Accent1 2 4" xfId="60" xr:uid="{00000000-0005-0000-0000-00003C000000}"/>
    <cellStyle name="20% - Accent1 2 5" xfId="61" xr:uid="{00000000-0005-0000-0000-00003D000000}"/>
    <cellStyle name="20% - Accent1 2 6" xfId="62" xr:uid="{00000000-0005-0000-0000-00003E000000}"/>
    <cellStyle name="20% - Accent1 2 7" xfId="63" xr:uid="{00000000-0005-0000-0000-00003F000000}"/>
    <cellStyle name="20% - Accent1 2 8" xfId="64" xr:uid="{00000000-0005-0000-0000-000040000000}"/>
    <cellStyle name="20% - Accent1 2 9" xfId="65" xr:uid="{00000000-0005-0000-0000-000041000000}"/>
    <cellStyle name="20% - Accent1 2_Filter" xfId="533" xr:uid="{00000000-0005-0000-0000-000015020000}"/>
    <cellStyle name="20% - Accent2 2" xfId="5" xr:uid="{00000000-0005-0000-0000-000005000000}"/>
    <cellStyle name="20% - Accent2 2 10" xfId="66" xr:uid="{00000000-0005-0000-0000-000042000000}"/>
    <cellStyle name="20% - Accent2 2 11" xfId="67" xr:uid="{00000000-0005-0000-0000-000043000000}"/>
    <cellStyle name="20% - Accent2 2 12" xfId="68" xr:uid="{00000000-0005-0000-0000-000044000000}"/>
    <cellStyle name="20% - Accent2 2 13" xfId="69" xr:uid="{00000000-0005-0000-0000-000045000000}"/>
    <cellStyle name="20% - Accent2 2 14" xfId="70" xr:uid="{00000000-0005-0000-0000-000046000000}"/>
    <cellStyle name="20% - Accent2 2 2" xfId="71" xr:uid="{00000000-0005-0000-0000-000047000000}"/>
    <cellStyle name="20% - Accent2 2 3" xfId="72" xr:uid="{00000000-0005-0000-0000-000048000000}"/>
    <cellStyle name="20% - Accent2 2 4" xfId="73" xr:uid="{00000000-0005-0000-0000-000049000000}"/>
    <cellStyle name="20% - Accent2 2 5" xfId="74" xr:uid="{00000000-0005-0000-0000-00004A000000}"/>
    <cellStyle name="20% - Accent2 2 6" xfId="75" xr:uid="{00000000-0005-0000-0000-00004B000000}"/>
    <cellStyle name="20% - Accent2 2 7" xfId="76" xr:uid="{00000000-0005-0000-0000-00004C000000}"/>
    <cellStyle name="20% - Accent2 2 8" xfId="77" xr:uid="{00000000-0005-0000-0000-00004D000000}"/>
    <cellStyle name="20% - Accent2 2 9" xfId="78" xr:uid="{00000000-0005-0000-0000-00004E000000}"/>
    <cellStyle name="20% - Accent2 2_Filter" xfId="534" xr:uid="{00000000-0005-0000-0000-000016020000}"/>
    <cellStyle name="20% - Accent3 2" xfId="6" xr:uid="{00000000-0005-0000-0000-000006000000}"/>
    <cellStyle name="20% - Accent3 2 10" xfId="79" xr:uid="{00000000-0005-0000-0000-00004F000000}"/>
    <cellStyle name="20% - Accent3 2 11" xfId="80" xr:uid="{00000000-0005-0000-0000-000050000000}"/>
    <cellStyle name="20% - Accent3 2 12" xfId="81" xr:uid="{00000000-0005-0000-0000-000051000000}"/>
    <cellStyle name="20% - Accent3 2 13" xfId="82" xr:uid="{00000000-0005-0000-0000-000052000000}"/>
    <cellStyle name="20% - Accent3 2 14" xfId="83" xr:uid="{00000000-0005-0000-0000-000053000000}"/>
    <cellStyle name="20% - Accent3 2 2" xfId="84" xr:uid="{00000000-0005-0000-0000-000054000000}"/>
    <cellStyle name="20% - Accent3 2 3" xfId="85" xr:uid="{00000000-0005-0000-0000-000055000000}"/>
    <cellStyle name="20% - Accent3 2 4" xfId="86" xr:uid="{00000000-0005-0000-0000-000056000000}"/>
    <cellStyle name="20% - Accent3 2 5" xfId="87" xr:uid="{00000000-0005-0000-0000-000057000000}"/>
    <cellStyle name="20% - Accent3 2 6" xfId="88" xr:uid="{00000000-0005-0000-0000-000058000000}"/>
    <cellStyle name="20% - Accent3 2 7" xfId="89" xr:uid="{00000000-0005-0000-0000-000059000000}"/>
    <cellStyle name="20% - Accent3 2 8" xfId="90" xr:uid="{00000000-0005-0000-0000-00005A000000}"/>
    <cellStyle name="20% - Accent3 2 9" xfId="91" xr:uid="{00000000-0005-0000-0000-00005B000000}"/>
    <cellStyle name="20% - Accent3 2_Filter" xfId="535" xr:uid="{00000000-0005-0000-0000-000017020000}"/>
    <cellStyle name="20% - Accent4 2" xfId="7" xr:uid="{00000000-0005-0000-0000-000007000000}"/>
    <cellStyle name="20% - Accent4 2 10" xfId="92" xr:uid="{00000000-0005-0000-0000-00005C000000}"/>
    <cellStyle name="20% - Accent4 2 11" xfId="93" xr:uid="{00000000-0005-0000-0000-00005D000000}"/>
    <cellStyle name="20% - Accent4 2 12" xfId="94" xr:uid="{00000000-0005-0000-0000-00005E000000}"/>
    <cellStyle name="20% - Accent4 2 13" xfId="95" xr:uid="{00000000-0005-0000-0000-00005F000000}"/>
    <cellStyle name="20% - Accent4 2 14" xfId="96" xr:uid="{00000000-0005-0000-0000-000060000000}"/>
    <cellStyle name="20% - Accent4 2 2" xfId="97" xr:uid="{00000000-0005-0000-0000-000061000000}"/>
    <cellStyle name="20% - Accent4 2 3" xfId="98" xr:uid="{00000000-0005-0000-0000-000062000000}"/>
    <cellStyle name="20% - Accent4 2 4" xfId="99" xr:uid="{00000000-0005-0000-0000-000063000000}"/>
    <cellStyle name="20% - Accent4 2 5" xfId="100" xr:uid="{00000000-0005-0000-0000-000064000000}"/>
    <cellStyle name="20% - Accent4 2 6" xfId="101" xr:uid="{00000000-0005-0000-0000-000065000000}"/>
    <cellStyle name="20% - Accent4 2 7" xfId="102" xr:uid="{00000000-0005-0000-0000-000066000000}"/>
    <cellStyle name="20% - Accent4 2 8" xfId="103" xr:uid="{00000000-0005-0000-0000-000067000000}"/>
    <cellStyle name="20% - Accent4 2 9" xfId="104" xr:uid="{00000000-0005-0000-0000-000068000000}"/>
    <cellStyle name="20% - Accent4 2_Filter" xfId="536" xr:uid="{00000000-0005-0000-0000-000018020000}"/>
    <cellStyle name="20% - Accent5 2" xfId="8" xr:uid="{00000000-0005-0000-0000-000008000000}"/>
    <cellStyle name="20% - Accent5 2 10" xfId="105" xr:uid="{00000000-0005-0000-0000-000069000000}"/>
    <cellStyle name="20% - Accent5 2 11" xfId="106" xr:uid="{00000000-0005-0000-0000-00006A000000}"/>
    <cellStyle name="20% - Accent5 2 12" xfId="107" xr:uid="{00000000-0005-0000-0000-00006B000000}"/>
    <cellStyle name="20% - Accent5 2 13" xfId="108" xr:uid="{00000000-0005-0000-0000-00006C000000}"/>
    <cellStyle name="20% - Accent5 2 14" xfId="109" xr:uid="{00000000-0005-0000-0000-00006D000000}"/>
    <cellStyle name="20% - Accent5 2 2" xfId="110" xr:uid="{00000000-0005-0000-0000-00006E000000}"/>
    <cellStyle name="20% - Accent5 2 3" xfId="111" xr:uid="{00000000-0005-0000-0000-00006F000000}"/>
    <cellStyle name="20% - Accent5 2 4" xfId="112" xr:uid="{00000000-0005-0000-0000-000070000000}"/>
    <cellStyle name="20% - Accent5 2 5" xfId="113" xr:uid="{00000000-0005-0000-0000-000071000000}"/>
    <cellStyle name="20% - Accent5 2 6" xfId="114" xr:uid="{00000000-0005-0000-0000-000072000000}"/>
    <cellStyle name="20% - Accent5 2 7" xfId="115" xr:uid="{00000000-0005-0000-0000-000073000000}"/>
    <cellStyle name="20% - Accent5 2 8" xfId="116" xr:uid="{00000000-0005-0000-0000-000074000000}"/>
    <cellStyle name="20% - Accent5 2 9" xfId="117" xr:uid="{00000000-0005-0000-0000-000075000000}"/>
    <cellStyle name="20% - Accent5 2_Filter" xfId="537" xr:uid="{00000000-0005-0000-0000-000019020000}"/>
    <cellStyle name="20% - Accent6 2" xfId="9" xr:uid="{00000000-0005-0000-0000-000009000000}"/>
    <cellStyle name="20% - Accent6 2 10" xfId="118" xr:uid="{00000000-0005-0000-0000-000076000000}"/>
    <cellStyle name="20% - Accent6 2 11" xfId="119" xr:uid="{00000000-0005-0000-0000-000077000000}"/>
    <cellStyle name="20% - Accent6 2 12" xfId="120" xr:uid="{00000000-0005-0000-0000-000078000000}"/>
    <cellStyle name="20% - Accent6 2 13" xfId="121" xr:uid="{00000000-0005-0000-0000-000079000000}"/>
    <cellStyle name="20% - Accent6 2 14" xfId="122" xr:uid="{00000000-0005-0000-0000-00007A000000}"/>
    <cellStyle name="20% - Accent6 2 2" xfId="123" xr:uid="{00000000-0005-0000-0000-00007B000000}"/>
    <cellStyle name="20% - Accent6 2 3" xfId="124" xr:uid="{00000000-0005-0000-0000-00007C000000}"/>
    <cellStyle name="20% - Accent6 2 4" xfId="125" xr:uid="{00000000-0005-0000-0000-00007D000000}"/>
    <cellStyle name="20% - Accent6 2 5" xfId="126" xr:uid="{00000000-0005-0000-0000-00007E000000}"/>
    <cellStyle name="20% - Accent6 2 6" xfId="127" xr:uid="{00000000-0005-0000-0000-00007F000000}"/>
    <cellStyle name="20% - Accent6 2 7" xfId="128" xr:uid="{00000000-0005-0000-0000-000080000000}"/>
    <cellStyle name="20% - Accent6 2 8" xfId="129" xr:uid="{00000000-0005-0000-0000-000081000000}"/>
    <cellStyle name="20% - Accent6 2 9" xfId="130" xr:uid="{00000000-0005-0000-0000-000082000000}"/>
    <cellStyle name="20% - Accent6 2_Filter" xfId="538" xr:uid="{00000000-0005-0000-0000-00001A020000}"/>
    <cellStyle name="40% - Accent1 2" xfId="10" xr:uid="{00000000-0005-0000-0000-00000A000000}"/>
    <cellStyle name="40% - Accent1 2 10" xfId="131" xr:uid="{00000000-0005-0000-0000-000083000000}"/>
    <cellStyle name="40% - Accent1 2 11" xfId="132" xr:uid="{00000000-0005-0000-0000-000084000000}"/>
    <cellStyle name="40% - Accent1 2 12" xfId="133" xr:uid="{00000000-0005-0000-0000-000085000000}"/>
    <cellStyle name="40% - Accent1 2 13" xfId="134" xr:uid="{00000000-0005-0000-0000-000086000000}"/>
    <cellStyle name="40% - Accent1 2 14" xfId="135" xr:uid="{00000000-0005-0000-0000-000087000000}"/>
    <cellStyle name="40% - Accent1 2 2" xfId="136" xr:uid="{00000000-0005-0000-0000-000088000000}"/>
    <cellStyle name="40% - Accent1 2 3" xfId="137" xr:uid="{00000000-0005-0000-0000-000089000000}"/>
    <cellStyle name="40% - Accent1 2 4" xfId="138" xr:uid="{00000000-0005-0000-0000-00008A000000}"/>
    <cellStyle name="40% - Accent1 2 5" xfId="139" xr:uid="{00000000-0005-0000-0000-00008B000000}"/>
    <cellStyle name="40% - Accent1 2 6" xfId="140" xr:uid="{00000000-0005-0000-0000-00008C000000}"/>
    <cellStyle name="40% - Accent1 2 7" xfId="141" xr:uid="{00000000-0005-0000-0000-00008D000000}"/>
    <cellStyle name="40% - Accent1 2 8" xfId="142" xr:uid="{00000000-0005-0000-0000-00008E000000}"/>
    <cellStyle name="40% - Accent1 2 9" xfId="143" xr:uid="{00000000-0005-0000-0000-00008F000000}"/>
    <cellStyle name="40% - Accent1 2_Filter" xfId="539" xr:uid="{00000000-0005-0000-0000-00001B020000}"/>
    <cellStyle name="40% - Accent2 2" xfId="11" xr:uid="{00000000-0005-0000-0000-00000B000000}"/>
    <cellStyle name="40% - Accent2 2 10" xfId="144" xr:uid="{00000000-0005-0000-0000-000090000000}"/>
    <cellStyle name="40% - Accent2 2 11" xfId="145" xr:uid="{00000000-0005-0000-0000-000091000000}"/>
    <cellStyle name="40% - Accent2 2 12" xfId="146" xr:uid="{00000000-0005-0000-0000-000092000000}"/>
    <cellStyle name="40% - Accent2 2 13" xfId="147" xr:uid="{00000000-0005-0000-0000-000093000000}"/>
    <cellStyle name="40% - Accent2 2 14" xfId="148" xr:uid="{00000000-0005-0000-0000-000094000000}"/>
    <cellStyle name="40% - Accent2 2 2" xfId="149" xr:uid="{00000000-0005-0000-0000-000095000000}"/>
    <cellStyle name="40% - Accent2 2 3" xfId="150" xr:uid="{00000000-0005-0000-0000-000096000000}"/>
    <cellStyle name="40% - Accent2 2 4" xfId="151" xr:uid="{00000000-0005-0000-0000-000097000000}"/>
    <cellStyle name="40% - Accent2 2 5" xfId="152" xr:uid="{00000000-0005-0000-0000-000098000000}"/>
    <cellStyle name="40% - Accent2 2 6" xfId="153" xr:uid="{00000000-0005-0000-0000-000099000000}"/>
    <cellStyle name="40% - Accent2 2 7" xfId="154" xr:uid="{00000000-0005-0000-0000-00009A000000}"/>
    <cellStyle name="40% - Accent2 2 8" xfId="155" xr:uid="{00000000-0005-0000-0000-00009B000000}"/>
    <cellStyle name="40% - Accent2 2 9" xfId="156" xr:uid="{00000000-0005-0000-0000-00009C000000}"/>
    <cellStyle name="40% - Accent2 2_Filter" xfId="540" xr:uid="{00000000-0005-0000-0000-00001C020000}"/>
    <cellStyle name="40% - Accent3 2" xfId="12" xr:uid="{00000000-0005-0000-0000-00000C000000}"/>
    <cellStyle name="40% - Accent3 2 10" xfId="157" xr:uid="{00000000-0005-0000-0000-00009D000000}"/>
    <cellStyle name="40% - Accent3 2 11" xfId="158" xr:uid="{00000000-0005-0000-0000-00009E000000}"/>
    <cellStyle name="40% - Accent3 2 12" xfId="159" xr:uid="{00000000-0005-0000-0000-00009F000000}"/>
    <cellStyle name="40% - Accent3 2 13" xfId="160" xr:uid="{00000000-0005-0000-0000-0000A0000000}"/>
    <cellStyle name="40% - Accent3 2 14" xfId="161" xr:uid="{00000000-0005-0000-0000-0000A1000000}"/>
    <cellStyle name="40% - Accent3 2 2" xfId="162" xr:uid="{00000000-0005-0000-0000-0000A2000000}"/>
    <cellStyle name="40% - Accent3 2 3" xfId="163" xr:uid="{00000000-0005-0000-0000-0000A3000000}"/>
    <cellStyle name="40% - Accent3 2 4" xfId="164" xr:uid="{00000000-0005-0000-0000-0000A4000000}"/>
    <cellStyle name="40% - Accent3 2 5" xfId="165" xr:uid="{00000000-0005-0000-0000-0000A5000000}"/>
    <cellStyle name="40% - Accent3 2 6" xfId="166" xr:uid="{00000000-0005-0000-0000-0000A6000000}"/>
    <cellStyle name="40% - Accent3 2 7" xfId="167" xr:uid="{00000000-0005-0000-0000-0000A7000000}"/>
    <cellStyle name="40% - Accent3 2 8" xfId="168" xr:uid="{00000000-0005-0000-0000-0000A8000000}"/>
    <cellStyle name="40% - Accent3 2 9" xfId="169" xr:uid="{00000000-0005-0000-0000-0000A9000000}"/>
    <cellStyle name="40% - Accent3 2_Filter" xfId="541" xr:uid="{00000000-0005-0000-0000-00001D020000}"/>
    <cellStyle name="40% - Accent4 2" xfId="13" xr:uid="{00000000-0005-0000-0000-00000D000000}"/>
    <cellStyle name="40% - Accent4 2 10" xfId="170" xr:uid="{00000000-0005-0000-0000-0000AA000000}"/>
    <cellStyle name="40% - Accent4 2 11" xfId="171" xr:uid="{00000000-0005-0000-0000-0000AB000000}"/>
    <cellStyle name="40% - Accent4 2 12" xfId="172" xr:uid="{00000000-0005-0000-0000-0000AC000000}"/>
    <cellStyle name="40% - Accent4 2 13" xfId="173" xr:uid="{00000000-0005-0000-0000-0000AD000000}"/>
    <cellStyle name="40% - Accent4 2 14" xfId="174" xr:uid="{00000000-0005-0000-0000-0000AE000000}"/>
    <cellStyle name="40% - Accent4 2 2" xfId="175" xr:uid="{00000000-0005-0000-0000-0000AF000000}"/>
    <cellStyle name="40% - Accent4 2 3" xfId="176" xr:uid="{00000000-0005-0000-0000-0000B0000000}"/>
    <cellStyle name="40% - Accent4 2 4" xfId="177" xr:uid="{00000000-0005-0000-0000-0000B1000000}"/>
    <cellStyle name="40% - Accent4 2 5" xfId="178" xr:uid="{00000000-0005-0000-0000-0000B2000000}"/>
    <cellStyle name="40% - Accent4 2 6" xfId="179" xr:uid="{00000000-0005-0000-0000-0000B3000000}"/>
    <cellStyle name="40% - Accent4 2 7" xfId="180" xr:uid="{00000000-0005-0000-0000-0000B4000000}"/>
    <cellStyle name="40% - Accent4 2 8" xfId="181" xr:uid="{00000000-0005-0000-0000-0000B5000000}"/>
    <cellStyle name="40% - Accent4 2 9" xfId="182" xr:uid="{00000000-0005-0000-0000-0000B6000000}"/>
    <cellStyle name="40% - Accent4 2_Filter" xfId="542" xr:uid="{00000000-0005-0000-0000-00001E020000}"/>
    <cellStyle name="40% - Accent5 2" xfId="14" xr:uid="{00000000-0005-0000-0000-00000E000000}"/>
    <cellStyle name="40% - Accent5 2 10" xfId="183" xr:uid="{00000000-0005-0000-0000-0000B7000000}"/>
    <cellStyle name="40% - Accent5 2 11" xfId="184" xr:uid="{00000000-0005-0000-0000-0000B8000000}"/>
    <cellStyle name="40% - Accent5 2 12" xfId="185" xr:uid="{00000000-0005-0000-0000-0000B9000000}"/>
    <cellStyle name="40% - Accent5 2 13" xfId="186" xr:uid="{00000000-0005-0000-0000-0000BA000000}"/>
    <cellStyle name="40% - Accent5 2 14" xfId="187" xr:uid="{00000000-0005-0000-0000-0000BB000000}"/>
    <cellStyle name="40% - Accent5 2 2" xfId="188" xr:uid="{00000000-0005-0000-0000-0000BC000000}"/>
    <cellStyle name="40% - Accent5 2 3" xfId="189" xr:uid="{00000000-0005-0000-0000-0000BD000000}"/>
    <cellStyle name="40% - Accent5 2 4" xfId="190" xr:uid="{00000000-0005-0000-0000-0000BE000000}"/>
    <cellStyle name="40% - Accent5 2 5" xfId="191" xr:uid="{00000000-0005-0000-0000-0000BF000000}"/>
    <cellStyle name="40% - Accent5 2 6" xfId="192" xr:uid="{00000000-0005-0000-0000-0000C0000000}"/>
    <cellStyle name="40% - Accent5 2 7" xfId="193" xr:uid="{00000000-0005-0000-0000-0000C1000000}"/>
    <cellStyle name="40% - Accent5 2 8" xfId="194" xr:uid="{00000000-0005-0000-0000-0000C2000000}"/>
    <cellStyle name="40% - Accent5 2 9" xfId="195" xr:uid="{00000000-0005-0000-0000-0000C3000000}"/>
    <cellStyle name="40% - Accent5 2_Filter" xfId="543" xr:uid="{00000000-0005-0000-0000-00001F020000}"/>
    <cellStyle name="40% - Accent6 2" xfId="15" xr:uid="{00000000-0005-0000-0000-00000F000000}"/>
    <cellStyle name="40% - Accent6 2 10" xfId="196" xr:uid="{00000000-0005-0000-0000-0000C4000000}"/>
    <cellStyle name="40% - Accent6 2 11" xfId="197" xr:uid="{00000000-0005-0000-0000-0000C5000000}"/>
    <cellStyle name="40% - Accent6 2 12" xfId="198" xr:uid="{00000000-0005-0000-0000-0000C6000000}"/>
    <cellStyle name="40% - Accent6 2 13" xfId="199" xr:uid="{00000000-0005-0000-0000-0000C7000000}"/>
    <cellStyle name="40% - Accent6 2 14" xfId="200" xr:uid="{00000000-0005-0000-0000-0000C8000000}"/>
    <cellStyle name="40% - Accent6 2 2" xfId="201" xr:uid="{00000000-0005-0000-0000-0000C9000000}"/>
    <cellStyle name="40% - Accent6 2 3" xfId="202" xr:uid="{00000000-0005-0000-0000-0000CA000000}"/>
    <cellStyle name="40% - Accent6 2 4" xfId="203" xr:uid="{00000000-0005-0000-0000-0000CB000000}"/>
    <cellStyle name="40% - Accent6 2 5" xfId="204" xr:uid="{00000000-0005-0000-0000-0000CC000000}"/>
    <cellStyle name="40% - Accent6 2 6" xfId="205" xr:uid="{00000000-0005-0000-0000-0000CD000000}"/>
    <cellStyle name="40% - Accent6 2 7" xfId="206" xr:uid="{00000000-0005-0000-0000-0000CE000000}"/>
    <cellStyle name="40% - Accent6 2 8" xfId="207" xr:uid="{00000000-0005-0000-0000-0000CF000000}"/>
    <cellStyle name="40% - Accent6 2 9" xfId="208" xr:uid="{00000000-0005-0000-0000-0000D0000000}"/>
    <cellStyle name="40% - Accent6 2_Filter" xfId="544" xr:uid="{00000000-0005-0000-0000-000020020000}"/>
    <cellStyle name="60% - Accent1 2" xfId="16" xr:uid="{00000000-0005-0000-0000-000010000000}"/>
    <cellStyle name="60% - Accent1 2 10" xfId="209" xr:uid="{00000000-0005-0000-0000-0000D1000000}"/>
    <cellStyle name="60% - Accent1 2 2" xfId="210" xr:uid="{00000000-0005-0000-0000-0000D2000000}"/>
    <cellStyle name="60% - Accent1 2 3" xfId="211" xr:uid="{00000000-0005-0000-0000-0000D3000000}"/>
    <cellStyle name="60% - Accent1 2 4" xfId="212" xr:uid="{00000000-0005-0000-0000-0000D4000000}"/>
    <cellStyle name="60% - Accent1 2 5" xfId="213" xr:uid="{00000000-0005-0000-0000-0000D5000000}"/>
    <cellStyle name="60% - Accent1 2 6" xfId="214" xr:uid="{00000000-0005-0000-0000-0000D6000000}"/>
    <cellStyle name="60% - Accent1 2 7" xfId="215" xr:uid="{00000000-0005-0000-0000-0000D7000000}"/>
    <cellStyle name="60% - Accent1 2 8" xfId="216" xr:uid="{00000000-0005-0000-0000-0000D8000000}"/>
    <cellStyle name="60% - Accent1 2 9" xfId="217" xr:uid="{00000000-0005-0000-0000-0000D9000000}"/>
    <cellStyle name="60% - Accent2 2" xfId="17" xr:uid="{00000000-0005-0000-0000-000011000000}"/>
    <cellStyle name="60% - Accent2 2 10" xfId="218" xr:uid="{00000000-0005-0000-0000-0000DA000000}"/>
    <cellStyle name="60% - Accent2 2 2" xfId="219" xr:uid="{00000000-0005-0000-0000-0000DB000000}"/>
    <cellStyle name="60% - Accent2 2 3" xfId="220" xr:uid="{00000000-0005-0000-0000-0000DC000000}"/>
    <cellStyle name="60% - Accent2 2 4" xfId="221" xr:uid="{00000000-0005-0000-0000-0000DD000000}"/>
    <cellStyle name="60% - Accent2 2 5" xfId="222" xr:uid="{00000000-0005-0000-0000-0000DE000000}"/>
    <cellStyle name="60% - Accent2 2 6" xfId="223" xr:uid="{00000000-0005-0000-0000-0000DF000000}"/>
    <cellStyle name="60% - Accent2 2 7" xfId="224" xr:uid="{00000000-0005-0000-0000-0000E0000000}"/>
    <cellStyle name="60% - Accent2 2 8" xfId="225" xr:uid="{00000000-0005-0000-0000-0000E1000000}"/>
    <cellStyle name="60% - Accent2 2 9" xfId="226" xr:uid="{00000000-0005-0000-0000-0000E2000000}"/>
    <cellStyle name="60% - Accent3 2" xfId="18" xr:uid="{00000000-0005-0000-0000-000012000000}"/>
    <cellStyle name="60% - Accent3 2 10" xfId="227" xr:uid="{00000000-0005-0000-0000-0000E3000000}"/>
    <cellStyle name="60% - Accent3 2 2" xfId="228" xr:uid="{00000000-0005-0000-0000-0000E4000000}"/>
    <cellStyle name="60% - Accent3 2 3" xfId="229" xr:uid="{00000000-0005-0000-0000-0000E5000000}"/>
    <cellStyle name="60% - Accent3 2 4" xfId="230" xr:uid="{00000000-0005-0000-0000-0000E6000000}"/>
    <cellStyle name="60% - Accent3 2 5" xfId="231" xr:uid="{00000000-0005-0000-0000-0000E7000000}"/>
    <cellStyle name="60% - Accent3 2 6" xfId="232" xr:uid="{00000000-0005-0000-0000-0000E8000000}"/>
    <cellStyle name="60% - Accent3 2 7" xfId="233" xr:uid="{00000000-0005-0000-0000-0000E9000000}"/>
    <cellStyle name="60% - Accent3 2 8" xfId="234" xr:uid="{00000000-0005-0000-0000-0000EA000000}"/>
    <cellStyle name="60% - Accent3 2 9" xfId="235" xr:uid="{00000000-0005-0000-0000-0000EB000000}"/>
    <cellStyle name="60% - Accent4 2" xfId="19" xr:uid="{00000000-0005-0000-0000-000013000000}"/>
    <cellStyle name="60% - Accent4 2 10" xfId="236" xr:uid="{00000000-0005-0000-0000-0000EC000000}"/>
    <cellStyle name="60% - Accent4 2 2" xfId="237" xr:uid="{00000000-0005-0000-0000-0000ED000000}"/>
    <cellStyle name="60% - Accent4 2 3" xfId="238" xr:uid="{00000000-0005-0000-0000-0000EE000000}"/>
    <cellStyle name="60% - Accent4 2 4" xfId="239" xr:uid="{00000000-0005-0000-0000-0000EF000000}"/>
    <cellStyle name="60% - Accent4 2 5" xfId="240" xr:uid="{00000000-0005-0000-0000-0000F0000000}"/>
    <cellStyle name="60% - Accent4 2 6" xfId="241" xr:uid="{00000000-0005-0000-0000-0000F1000000}"/>
    <cellStyle name="60% - Accent4 2 7" xfId="242" xr:uid="{00000000-0005-0000-0000-0000F2000000}"/>
    <cellStyle name="60% - Accent4 2 8" xfId="243" xr:uid="{00000000-0005-0000-0000-0000F3000000}"/>
    <cellStyle name="60% - Accent4 2 9" xfId="244" xr:uid="{00000000-0005-0000-0000-0000F4000000}"/>
    <cellStyle name="60% - Accent5 2" xfId="20" xr:uid="{00000000-0005-0000-0000-000014000000}"/>
    <cellStyle name="60% - Accent5 2 10" xfId="245" xr:uid="{00000000-0005-0000-0000-0000F5000000}"/>
    <cellStyle name="60% - Accent5 2 2" xfId="246" xr:uid="{00000000-0005-0000-0000-0000F6000000}"/>
    <cellStyle name="60% - Accent5 2 3" xfId="247" xr:uid="{00000000-0005-0000-0000-0000F7000000}"/>
    <cellStyle name="60% - Accent5 2 4" xfId="248" xr:uid="{00000000-0005-0000-0000-0000F8000000}"/>
    <cellStyle name="60% - Accent5 2 5" xfId="249" xr:uid="{00000000-0005-0000-0000-0000F9000000}"/>
    <cellStyle name="60% - Accent5 2 6" xfId="250" xr:uid="{00000000-0005-0000-0000-0000FA000000}"/>
    <cellStyle name="60% - Accent5 2 7" xfId="251" xr:uid="{00000000-0005-0000-0000-0000FB000000}"/>
    <cellStyle name="60% - Accent5 2 8" xfId="252" xr:uid="{00000000-0005-0000-0000-0000FC000000}"/>
    <cellStyle name="60% - Accent5 2 9" xfId="253" xr:uid="{00000000-0005-0000-0000-0000FD000000}"/>
    <cellStyle name="60% - Accent6 2" xfId="21" xr:uid="{00000000-0005-0000-0000-000015000000}"/>
    <cellStyle name="60% - Accent6 2 10" xfId="254" xr:uid="{00000000-0005-0000-0000-0000FE000000}"/>
    <cellStyle name="60% - Accent6 2 2" xfId="255" xr:uid="{00000000-0005-0000-0000-0000FF000000}"/>
    <cellStyle name="60% - Accent6 2 3" xfId="256" xr:uid="{00000000-0005-0000-0000-000000010000}"/>
    <cellStyle name="60% - Accent6 2 4" xfId="257" xr:uid="{00000000-0005-0000-0000-000001010000}"/>
    <cellStyle name="60% - Accent6 2 5" xfId="258" xr:uid="{00000000-0005-0000-0000-000002010000}"/>
    <cellStyle name="60% - Accent6 2 6" xfId="259" xr:uid="{00000000-0005-0000-0000-000003010000}"/>
    <cellStyle name="60% - Accent6 2 7" xfId="260" xr:uid="{00000000-0005-0000-0000-000004010000}"/>
    <cellStyle name="60% - Accent6 2 8" xfId="261" xr:uid="{00000000-0005-0000-0000-000005010000}"/>
    <cellStyle name="60% - Accent6 2 9" xfId="262" xr:uid="{00000000-0005-0000-0000-000006010000}"/>
    <cellStyle name="Accent1 2" xfId="22" xr:uid="{00000000-0005-0000-0000-000016000000}"/>
    <cellStyle name="Accent1 2 10" xfId="263" xr:uid="{00000000-0005-0000-0000-000007010000}"/>
    <cellStyle name="Accent1 2 2" xfId="264" xr:uid="{00000000-0005-0000-0000-000008010000}"/>
    <cellStyle name="Accent1 2 3" xfId="265" xr:uid="{00000000-0005-0000-0000-000009010000}"/>
    <cellStyle name="Accent1 2 4" xfId="266" xr:uid="{00000000-0005-0000-0000-00000A010000}"/>
    <cellStyle name="Accent1 2 5" xfId="267" xr:uid="{00000000-0005-0000-0000-00000B010000}"/>
    <cellStyle name="Accent1 2 6" xfId="268" xr:uid="{00000000-0005-0000-0000-00000C010000}"/>
    <cellStyle name="Accent1 2 7" xfId="269" xr:uid="{00000000-0005-0000-0000-00000D010000}"/>
    <cellStyle name="Accent1 2 8" xfId="270" xr:uid="{00000000-0005-0000-0000-00000E010000}"/>
    <cellStyle name="Accent1 2 9" xfId="271" xr:uid="{00000000-0005-0000-0000-00000F010000}"/>
    <cellStyle name="Accent2 2" xfId="23" xr:uid="{00000000-0005-0000-0000-000017000000}"/>
    <cellStyle name="Accent2 2 10" xfId="272" xr:uid="{00000000-0005-0000-0000-000010010000}"/>
    <cellStyle name="Accent2 2 2" xfId="273" xr:uid="{00000000-0005-0000-0000-000011010000}"/>
    <cellStyle name="Accent2 2 3" xfId="274" xr:uid="{00000000-0005-0000-0000-000012010000}"/>
    <cellStyle name="Accent2 2 4" xfId="275" xr:uid="{00000000-0005-0000-0000-000013010000}"/>
    <cellStyle name="Accent2 2 5" xfId="276" xr:uid="{00000000-0005-0000-0000-000014010000}"/>
    <cellStyle name="Accent2 2 6" xfId="277" xr:uid="{00000000-0005-0000-0000-000015010000}"/>
    <cellStyle name="Accent2 2 7" xfId="278" xr:uid="{00000000-0005-0000-0000-000016010000}"/>
    <cellStyle name="Accent2 2 8" xfId="279" xr:uid="{00000000-0005-0000-0000-000017010000}"/>
    <cellStyle name="Accent2 2 9" xfId="280" xr:uid="{00000000-0005-0000-0000-000018010000}"/>
    <cellStyle name="Accent3 2" xfId="24" xr:uid="{00000000-0005-0000-0000-000018000000}"/>
    <cellStyle name="Accent3 2 10" xfId="281" xr:uid="{00000000-0005-0000-0000-000019010000}"/>
    <cellStyle name="Accent3 2 2" xfId="282" xr:uid="{00000000-0005-0000-0000-00001A010000}"/>
    <cellStyle name="Accent3 2 3" xfId="283" xr:uid="{00000000-0005-0000-0000-00001B010000}"/>
    <cellStyle name="Accent3 2 4" xfId="284" xr:uid="{00000000-0005-0000-0000-00001C010000}"/>
    <cellStyle name="Accent3 2 5" xfId="285" xr:uid="{00000000-0005-0000-0000-00001D010000}"/>
    <cellStyle name="Accent3 2 6" xfId="286" xr:uid="{00000000-0005-0000-0000-00001E010000}"/>
    <cellStyle name="Accent3 2 7" xfId="287" xr:uid="{00000000-0005-0000-0000-00001F010000}"/>
    <cellStyle name="Accent3 2 8" xfId="288" xr:uid="{00000000-0005-0000-0000-000020010000}"/>
    <cellStyle name="Accent3 2 9" xfId="289" xr:uid="{00000000-0005-0000-0000-000021010000}"/>
    <cellStyle name="Accent4 2" xfId="25" xr:uid="{00000000-0005-0000-0000-000019000000}"/>
    <cellStyle name="Accent4 2 10" xfId="290" xr:uid="{00000000-0005-0000-0000-000022010000}"/>
    <cellStyle name="Accent4 2 2" xfId="291" xr:uid="{00000000-0005-0000-0000-000023010000}"/>
    <cellStyle name="Accent4 2 3" xfId="292" xr:uid="{00000000-0005-0000-0000-000024010000}"/>
    <cellStyle name="Accent4 2 4" xfId="293" xr:uid="{00000000-0005-0000-0000-000025010000}"/>
    <cellStyle name="Accent4 2 5" xfId="294" xr:uid="{00000000-0005-0000-0000-000026010000}"/>
    <cellStyle name="Accent4 2 6" xfId="295" xr:uid="{00000000-0005-0000-0000-000027010000}"/>
    <cellStyle name="Accent4 2 7" xfId="296" xr:uid="{00000000-0005-0000-0000-000028010000}"/>
    <cellStyle name="Accent4 2 8" xfId="297" xr:uid="{00000000-0005-0000-0000-000029010000}"/>
    <cellStyle name="Accent4 2 9" xfId="298" xr:uid="{00000000-0005-0000-0000-00002A010000}"/>
    <cellStyle name="Accent5 2" xfId="26" xr:uid="{00000000-0005-0000-0000-00001A000000}"/>
    <cellStyle name="Accent5 2 10" xfId="299" xr:uid="{00000000-0005-0000-0000-00002B010000}"/>
    <cellStyle name="Accent5 2 2" xfId="300" xr:uid="{00000000-0005-0000-0000-00002C010000}"/>
    <cellStyle name="Accent5 2 3" xfId="301" xr:uid="{00000000-0005-0000-0000-00002D010000}"/>
    <cellStyle name="Accent5 2 4" xfId="302" xr:uid="{00000000-0005-0000-0000-00002E010000}"/>
    <cellStyle name="Accent5 2 5" xfId="303" xr:uid="{00000000-0005-0000-0000-00002F010000}"/>
    <cellStyle name="Accent5 2 6" xfId="304" xr:uid="{00000000-0005-0000-0000-000030010000}"/>
    <cellStyle name="Accent5 2 7" xfId="305" xr:uid="{00000000-0005-0000-0000-000031010000}"/>
    <cellStyle name="Accent5 2 8" xfId="306" xr:uid="{00000000-0005-0000-0000-000032010000}"/>
    <cellStyle name="Accent5 2 9" xfId="307" xr:uid="{00000000-0005-0000-0000-000033010000}"/>
    <cellStyle name="Accent6 2" xfId="27" xr:uid="{00000000-0005-0000-0000-00001B000000}"/>
    <cellStyle name="Accent6 2 10" xfId="308" xr:uid="{00000000-0005-0000-0000-000034010000}"/>
    <cellStyle name="Accent6 2 2" xfId="309" xr:uid="{00000000-0005-0000-0000-000035010000}"/>
    <cellStyle name="Accent6 2 3" xfId="310" xr:uid="{00000000-0005-0000-0000-000036010000}"/>
    <cellStyle name="Accent6 2 4" xfId="311" xr:uid="{00000000-0005-0000-0000-000037010000}"/>
    <cellStyle name="Accent6 2 5" xfId="312" xr:uid="{00000000-0005-0000-0000-000038010000}"/>
    <cellStyle name="Accent6 2 6" xfId="313" xr:uid="{00000000-0005-0000-0000-000039010000}"/>
    <cellStyle name="Accent6 2 7" xfId="314" xr:uid="{00000000-0005-0000-0000-00003A010000}"/>
    <cellStyle name="Accent6 2 8" xfId="315" xr:uid="{00000000-0005-0000-0000-00003B010000}"/>
    <cellStyle name="Accent6 2 9" xfId="316" xr:uid="{00000000-0005-0000-0000-00003C010000}"/>
    <cellStyle name="Bad 2" xfId="28" xr:uid="{00000000-0005-0000-0000-00001C000000}"/>
    <cellStyle name="Bad 2 10" xfId="317" xr:uid="{00000000-0005-0000-0000-00003D010000}"/>
    <cellStyle name="Bad 2 2" xfId="318" xr:uid="{00000000-0005-0000-0000-00003E010000}"/>
    <cellStyle name="Bad 2 3" xfId="319" xr:uid="{00000000-0005-0000-0000-00003F010000}"/>
    <cellStyle name="Bad 2 4" xfId="320" xr:uid="{00000000-0005-0000-0000-000040010000}"/>
    <cellStyle name="Bad 2 5" xfId="321" xr:uid="{00000000-0005-0000-0000-000041010000}"/>
    <cellStyle name="Bad 2 6" xfId="322" xr:uid="{00000000-0005-0000-0000-000042010000}"/>
    <cellStyle name="Bad 2 7" xfId="323" xr:uid="{00000000-0005-0000-0000-000043010000}"/>
    <cellStyle name="Bad 2 8" xfId="324" xr:uid="{00000000-0005-0000-0000-000044010000}"/>
    <cellStyle name="Bad 2 9" xfId="325" xr:uid="{00000000-0005-0000-0000-000045010000}"/>
    <cellStyle name="Calculation 2" xfId="29" xr:uid="{00000000-0005-0000-0000-00001D000000}"/>
    <cellStyle name="Calculation 2 10" xfId="326" xr:uid="{00000000-0005-0000-0000-000046010000}"/>
    <cellStyle name="Calculation 2 2" xfId="327" xr:uid="{00000000-0005-0000-0000-000047010000}"/>
    <cellStyle name="Calculation 2 3" xfId="328" xr:uid="{00000000-0005-0000-0000-000048010000}"/>
    <cellStyle name="Calculation 2 4" xfId="329" xr:uid="{00000000-0005-0000-0000-000049010000}"/>
    <cellStyle name="Calculation 2 5" xfId="330" xr:uid="{00000000-0005-0000-0000-00004A010000}"/>
    <cellStyle name="Calculation 2 6" xfId="331" xr:uid="{00000000-0005-0000-0000-00004B010000}"/>
    <cellStyle name="Calculation 2 7" xfId="332" xr:uid="{00000000-0005-0000-0000-00004C010000}"/>
    <cellStyle name="Calculation 2 8" xfId="333" xr:uid="{00000000-0005-0000-0000-00004D010000}"/>
    <cellStyle name="Calculation 2 9" xfId="334" xr:uid="{00000000-0005-0000-0000-00004E010000}"/>
    <cellStyle name="Check Cell 2" xfId="30" xr:uid="{00000000-0005-0000-0000-00001E000000}"/>
    <cellStyle name="Check Cell 2 10" xfId="335" xr:uid="{00000000-0005-0000-0000-00004F010000}"/>
    <cellStyle name="Check Cell 2 2" xfId="336" xr:uid="{00000000-0005-0000-0000-000050010000}"/>
    <cellStyle name="Check Cell 2 3" xfId="337" xr:uid="{00000000-0005-0000-0000-000051010000}"/>
    <cellStyle name="Check Cell 2 4" xfId="338" xr:uid="{00000000-0005-0000-0000-000052010000}"/>
    <cellStyle name="Check Cell 2 5" xfId="339" xr:uid="{00000000-0005-0000-0000-000053010000}"/>
    <cellStyle name="Check Cell 2 6" xfId="340" xr:uid="{00000000-0005-0000-0000-000054010000}"/>
    <cellStyle name="Check Cell 2 7" xfId="341" xr:uid="{00000000-0005-0000-0000-000055010000}"/>
    <cellStyle name="Check Cell 2 8" xfId="342" xr:uid="{00000000-0005-0000-0000-000056010000}"/>
    <cellStyle name="Check Cell 2 9" xfId="343" xr:uid="{00000000-0005-0000-0000-000057010000}"/>
    <cellStyle name="Comma 2" xfId="31" xr:uid="{00000000-0005-0000-0000-00001F000000}"/>
    <cellStyle name="Comma 2 2" xfId="545" xr:uid="{00000000-0005-0000-0000-000021020000}"/>
    <cellStyle name="Comma 3" xfId="51" xr:uid="{00000000-0005-0000-0000-000033000000}"/>
    <cellStyle name="Explanatory Text 2" xfId="32" xr:uid="{00000000-0005-0000-0000-000020000000}"/>
    <cellStyle name="Explanatory Text 2 10" xfId="344" xr:uid="{00000000-0005-0000-0000-000058010000}"/>
    <cellStyle name="Explanatory Text 2 2" xfId="345" xr:uid="{00000000-0005-0000-0000-000059010000}"/>
    <cellStyle name="Explanatory Text 2 3" xfId="346" xr:uid="{00000000-0005-0000-0000-00005A010000}"/>
    <cellStyle name="Explanatory Text 2 4" xfId="347" xr:uid="{00000000-0005-0000-0000-00005B010000}"/>
    <cellStyle name="Explanatory Text 2 5" xfId="348" xr:uid="{00000000-0005-0000-0000-00005C010000}"/>
    <cellStyle name="Explanatory Text 2 6" xfId="349" xr:uid="{00000000-0005-0000-0000-00005D010000}"/>
    <cellStyle name="Explanatory Text 2 7" xfId="350" xr:uid="{00000000-0005-0000-0000-00005E010000}"/>
    <cellStyle name="Explanatory Text 2 8" xfId="351" xr:uid="{00000000-0005-0000-0000-00005F010000}"/>
    <cellStyle name="Explanatory Text 2 9" xfId="352" xr:uid="{00000000-0005-0000-0000-000060010000}"/>
    <cellStyle name="Good 2" xfId="33" xr:uid="{00000000-0005-0000-0000-000021000000}"/>
    <cellStyle name="Good 2 10" xfId="353" xr:uid="{00000000-0005-0000-0000-000061010000}"/>
    <cellStyle name="Good 2 2" xfId="354" xr:uid="{00000000-0005-0000-0000-000062010000}"/>
    <cellStyle name="Good 2 3" xfId="355" xr:uid="{00000000-0005-0000-0000-000063010000}"/>
    <cellStyle name="Good 2 4" xfId="356" xr:uid="{00000000-0005-0000-0000-000064010000}"/>
    <cellStyle name="Good 2 5" xfId="357" xr:uid="{00000000-0005-0000-0000-000065010000}"/>
    <cellStyle name="Good 2 6" xfId="358" xr:uid="{00000000-0005-0000-0000-000066010000}"/>
    <cellStyle name="Good 2 7" xfId="359" xr:uid="{00000000-0005-0000-0000-000067010000}"/>
    <cellStyle name="Good 2 8" xfId="360" xr:uid="{00000000-0005-0000-0000-000068010000}"/>
    <cellStyle name="Good 2 9" xfId="361" xr:uid="{00000000-0005-0000-0000-000069010000}"/>
    <cellStyle name="Heading 1 2" xfId="34" xr:uid="{00000000-0005-0000-0000-000022000000}"/>
    <cellStyle name="Heading 1 2 10" xfId="362" xr:uid="{00000000-0005-0000-0000-00006A010000}"/>
    <cellStyle name="Heading 1 2 2" xfId="363" xr:uid="{00000000-0005-0000-0000-00006B010000}"/>
    <cellStyle name="Heading 1 2 3" xfId="364" xr:uid="{00000000-0005-0000-0000-00006C010000}"/>
    <cellStyle name="Heading 1 2 4" xfId="365" xr:uid="{00000000-0005-0000-0000-00006D010000}"/>
    <cellStyle name="Heading 1 2 5" xfId="366" xr:uid="{00000000-0005-0000-0000-00006E010000}"/>
    <cellStyle name="Heading 1 2 6" xfId="367" xr:uid="{00000000-0005-0000-0000-00006F010000}"/>
    <cellStyle name="Heading 1 2 7" xfId="368" xr:uid="{00000000-0005-0000-0000-000070010000}"/>
    <cellStyle name="Heading 1 2 8" xfId="369" xr:uid="{00000000-0005-0000-0000-000071010000}"/>
    <cellStyle name="Heading 1 2 9" xfId="370" xr:uid="{00000000-0005-0000-0000-000072010000}"/>
    <cellStyle name="Heading 2 2" xfId="35" xr:uid="{00000000-0005-0000-0000-000023000000}"/>
    <cellStyle name="Heading 2 2 10" xfId="371" xr:uid="{00000000-0005-0000-0000-000073010000}"/>
    <cellStyle name="Heading 2 2 2" xfId="372" xr:uid="{00000000-0005-0000-0000-000074010000}"/>
    <cellStyle name="Heading 2 2 3" xfId="373" xr:uid="{00000000-0005-0000-0000-000075010000}"/>
    <cellStyle name="Heading 2 2 4" xfId="374" xr:uid="{00000000-0005-0000-0000-000076010000}"/>
    <cellStyle name="Heading 2 2 5" xfId="375" xr:uid="{00000000-0005-0000-0000-000077010000}"/>
    <cellStyle name="Heading 2 2 6" xfId="376" xr:uid="{00000000-0005-0000-0000-000078010000}"/>
    <cellStyle name="Heading 2 2 7" xfId="377" xr:uid="{00000000-0005-0000-0000-000079010000}"/>
    <cellStyle name="Heading 2 2 8" xfId="378" xr:uid="{00000000-0005-0000-0000-00007A010000}"/>
    <cellStyle name="Heading 2 2 9" xfId="379" xr:uid="{00000000-0005-0000-0000-00007B010000}"/>
    <cellStyle name="Heading 3 2" xfId="36" xr:uid="{00000000-0005-0000-0000-000024000000}"/>
    <cellStyle name="Heading 3 2 10" xfId="380" xr:uid="{00000000-0005-0000-0000-00007C010000}"/>
    <cellStyle name="Heading 3 2 2" xfId="381" xr:uid="{00000000-0005-0000-0000-00007D010000}"/>
    <cellStyle name="Heading 3 2 3" xfId="382" xr:uid="{00000000-0005-0000-0000-00007E010000}"/>
    <cellStyle name="Heading 3 2 4" xfId="383" xr:uid="{00000000-0005-0000-0000-00007F010000}"/>
    <cellStyle name="Heading 3 2 5" xfId="384" xr:uid="{00000000-0005-0000-0000-000080010000}"/>
    <cellStyle name="Heading 3 2 6" xfId="385" xr:uid="{00000000-0005-0000-0000-000081010000}"/>
    <cellStyle name="Heading 3 2 7" xfId="386" xr:uid="{00000000-0005-0000-0000-000082010000}"/>
    <cellStyle name="Heading 3 2 8" xfId="387" xr:uid="{00000000-0005-0000-0000-000083010000}"/>
    <cellStyle name="Heading 3 2 9" xfId="388" xr:uid="{00000000-0005-0000-0000-000084010000}"/>
    <cellStyle name="Heading 4 2" xfId="37" xr:uid="{00000000-0005-0000-0000-000025000000}"/>
    <cellStyle name="Heading 4 2 10" xfId="389" xr:uid="{00000000-0005-0000-0000-000085010000}"/>
    <cellStyle name="Heading 4 2 2" xfId="390" xr:uid="{00000000-0005-0000-0000-000086010000}"/>
    <cellStyle name="Heading 4 2 3" xfId="391" xr:uid="{00000000-0005-0000-0000-000087010000}"/>
    <cellStyle name="Heading 4 2 4" xfId="392" xr:uid="{00000000-0005-0000-0000-000088010000}"/>
    <cellStyle name="Heading 4 2 5" xfId="393" xr:uid="{00000000-0005-0000-0000-000089010000}"/>
    <cellStyle name="Heading 4 2 6" xfId="394" xr:uid="{00000000-0005-0000-0000-00008A010000}"/>
    <cellStyle name="Heading 4 2 7" xfId="395" xr:uid="{00000000-0005-0000-0000-00008B010000}"/>
    <cellStyle name="Heading 4 2 8" xfId="396" xr:uid="{00000000-0005-0000-0000-00008C010000}"/>
    <cellStyle name="Heading 4 2 9" xfId="397" xr:uid="{00000000-0005-0000-0000-00008D010000}"/>
    <cellStyle name="Input 2" xfId="38" xr:uid="{00000000-0005-0000-0000-000026000000}"/>
    <cellStyle name="Input 2 10" xfId="398" xr:uid="{00000000-0005-0000-0000-00008E010000}"/>
    <cellStyle name="Input 2 2" xfId="399" xr:uid="{00000000-0005-0000-0000-00008F010000}"/>
    <cellStyle name="Input 2 3" xfId="400" xr:uid="{00000000-0005-0000-0000-000090010000}"/>
    <cellStyle name="Input 2 4" xfId="401" xr:uid="{00000000-0005-0000-0000-000091010000}"/>
    <cellStyle name="Input 2 5" xfId="402" xr:uid="{00000000-0005-0000-0000-000092010000}"/>
    <cellStyle name="Input 2 6" xfId="403" xr:uid="{00000000-0005-0000-0000-000093010000}"/>
    <cellStyle name="Input 2 7" xfId="404" xr:uid="{00000000-0005-0000-0000-000094010000}"/>
    <cellStyle name="Input 2 8" xfId="405" xr:uid="{00000000-0005-0000-0000-000095010000}"/>
    <cellStyle name="Input 2 9" xfId="406" xr:uid="{00000000-0005-0000-0000-000096010000}"/>
    <cellStyle name="Linked Cell 2" xfId="39" xr:uid="{00000000-0005-0000-0000-000027000000}"/>
    <cellStyle name="Linked Cell 2 10" xfId="407" xr:uid="{00000000-0005-0000-0000-000097010000}"/>
    <cellStyle name="Linked Cell 2 2" xfId="408" xr:uid="{00000000-0005-0000-0000-000098010000}"/>
    <cellStyle name="Linked Cell 2 3" xfId="409" xr:uid="{00000000-0005-0000-0000-000099010000}"/>
    <cellStyle name="Linked Cell 2 4" xfId="410" xr:uid="{00000000-0005-0000-0000-00009A010000}"/>
    <cellStyle name="Linked Cell 2 5" xfId="411" xr:uid="{00000000-0005-0000-0000-00009B010000}"/>
    <cellStyle name="Linked Cell 2 6" xfId="412" xr:uid="{00000000-0005-0000-0000-00009C010000}"/>
    <cellStyle name="Linked Cell 2 7" xfId="413" xr:uid="{00000000-0005-0000-0000-00009D010000}"/>
    <cellStyle name="Linked Cell 2 8" xfId="414" xr:uid="{00000000-0005-0000-0000-00009E010000}"/>
    <cellStyle name="Linked Cell 2 9" xfId="415" xr:uid="{00000000-0005-0000-0000-00009F010000}"/>
    <cellStyle name="Neutral 2" xfId="40" xr:uid="{00000000-0005-0000-0000-000028000000}"/>
    <cellStyle name="Neutral 2 10" xfId="416" xr:uid="{00000000-0005-0000-0000-0000A0010000}"/>
    <cellStyle name="Neutral 2 2" xfId="417" xr:uid="{00000000-0005-0000-0000-0000A1010000}"/>
    <cellStyle name="Neutral 2 3" xfId="418" xr:uid="{00000000-0005-0000-0000-0000A2010000}"/>
    <cellStyle name="Neutral 2 4" xfId="419" xr:uid="{00000000-0005-0000-0000-0000A3010000}"/>
    <cellStyle name="Neutral 2 5" xfId="420" xr:uid="{00000000-0005-0000-0000-0000A4010000}"/>
    <cellStyle name="Neutral 2 6" xfId="421" xr:uid="{00000000-0005-0000-0000-0000A5010000}"/>
    <cellStyle name="Neutral 2 7" xfId="422" xr:uid="{00000000-0005-0000-0000-0000A6010000}"/>
    <cellStyle name="Neutral 2 8" xfId="423" xr:uid="{00000000-0005-0000-0000-0000A7010000}"/>
    <cellStyle name="Neutral 2 9" xfId="424" xr:uid="{00000000-0005-0000-0000-0000A8010000}"/>
    <cellStyle name="Normal" xfId="0" builtinId="0"/>
    <cellStyle name="Normal 10" xfId="425" xr:uid="{00000000-0005-0000-0000-0000A9010000}"/>
    <cellStyle name="Normal 11" xfId="426" xr:uid="{00000000-0005-0000-0000-0000AA010000}"/>
    <cellStyle name="Normal 12" xfId="546" xr:uid="{00000000-0005-0000-0000-000022020000}"/>
    <cellStyle name="Normal 13" xfId="1" xr:uid="{00000000-0005-0000-0000-000001000000}"/>
    <cellStyle name="Normal 2" xfId="2" xr:uid="{00000000-0005-0000-0000-000002000000}"/>
    <cellStyle name="Normal 2 10" xfId="427" xr:uid="{00000000-0005-0000-0000-0000AB010000}"/>
    <cellStyle name="Normal 2 10 2" xfId="547" xr:uid="{00000000-0005-0000-0000-000023020000}"/>
    <cellStyle name="Normal 2 10_Filter" xfId="548" xr:uid="{00000000-0005-0000-0000-000024020000}"/>
    <cellStyle name="Normal 2 11" xfId="428" xr:uid="{00000000-0005-0000-0000-0000AC010000}"/>
    <cellStyle name="Normal 2 11 2" xfId="549" xr:uid="{00000000-0005-0000-0000-000025020000}"/>
    <cellStyle name="Normal 2 11_Filter" xfId="550" xr:uid="{00000000-0005-0000-0000-000026020000}"/>
    <cellStyle name="Normal 2 12" xfId="429" xr:uid="{00000000-0005-0000-0000-0000AD010000}"/>
    <cellStyle name="Normal 2 12 2" xfId="551" xr:uid="{00000000-0005-0000-0000-000027020000}"/>
    <cellStyle name="Normal 2 12_Filter" xfId="552" xr:uid="{00000000-0005-0000-0000-000028020000}"/>
    <cellStyle name="Normal 2 13" xfId="430" xr:uid="{00000000-0005-0000-0000-0000AE010000}"/>
    <cellStyle name="Normal 2 13 2" xfId="553" xr:uid="{00000000-0005-0000-0000-000029020000}"/>
    <cellStyle name="Normal 2 13_Filter" xfId="554" xr:uid="{00000000-0005-0000-0000-00002A020000}"/>
    <cellStyle name="Normal 2 14" xfId="431" xr:uid="{00000000-0005-0000-0000-0000AF010000}"/>
    <cellStyle name="Normal 2 15" xfId="432" xr:uid="{00000000-0005-0000-0000-0000B0010000}"/>
    <cellStyle name="Normal 2 16" xfId="433" xr:uid="{00000000-0005-0000-0000-0000B1010000}"/>
    <cellStyle name="Normal 2 17" xfId="555" xr:uid="{00000000-0005-0000-0000-00002B020000}"/>
    <cellStyle name="Normal 2 2" xfId="41" xr:uid="{00000000-0005-0000-0000-000029000000}"/>
    <cellStyle name="Normal 2 2 2" xfId="434" xr:uid="{00000000-0005-0000-0000-0000B2010000}"/>
    <cellStyle name="Normal 2 2 2 2" xfId="435" xr:uid="{00000000-0005-0000-0000-0000B3010000}"/>
    <cellStyle name="Normal 2 2 2 3" xfId="436" xr:uid="{00000000-0005-0000-0000-0000B4010000}"/>
    <cellStyle name="Normal 2 2 2 4" xfId="437" xr:uid="{00000000-0005-0000-0000-0000B5010000}"/>
    <cellStyle name="Normal 2 2 2 5" xfId="438" xr:uid="{00000000-0005-0000-0000-0000B6010000}"/>
    <cellStyle name="Normal 2 2 2 6" xfId="439" xr:uid="{00000000-0005-0000-0000-0000B7010000}"/>
    <cellStyle name="Normal 2 2 2_Filter" xfId="556" xr:uid="{00000000-0005-0000-0000-00002C020000}"/>
    <cellStyle name="Normal 2 2 3" xfId="440" xr:uid="{00000000-0005-0000-0000-0000B8010000}"/>
    <cellStyle name="Normal 2 2 4" xfId="441" xr:uid="{00000000-0005-0000-0000-0000B9010000}"/>
    <cellStyle name="Normal 2 2 5" xfId="442" xr:uid="{00000000-0005-0000-0000-0000BA010000}"/>
    <cellStyle name="Normal 2 2 6" xfId="443" xr:uid="{00000000-0005-0000-0000-0000BB010000}"/>
    <cellStyle name="Normal 2 2 7" xfId="444" xr:uid="{00000000-0005-0000-0000-0000BC010000}"/>
    <cellStyle name="Normal 2 2 8" xfId="445" xr:uid="{00000000-0005-0000-0000-0000BD010000}"/>
    <cellStyle name="Normal 2 2 9" xfId="446" xr:uid="{00000000-0005-0000-0000-0000BE010000}"/>
    <cellStyle name="Normal 2 2_Filter" xfId="557" xr:uid="{00000000-0005-0000-0000-00002D020000}"/>
    <cellStyle name="Normal 2 3" xfId="42" xr:uid="{00000000-0005-0000-0000-00002A000000}"/>
    <cellStyle name="Normal 2 4" xfId="43" xr:uid="{00000000-0005-0000-0000-00002B000000}"/>
    <cellStyle name="Normal 2 4 2" xfId="527" xr:uid="{00000000-0005-0000-0000-00000F020000}"/>
    <cellStyle name="Normal 2 4 2 2" xfId="531" xr:uid="{00000000-0005-0000-0000-000013020000}"/>
    <cellStyle name="Normal 2 4 2_Customized Shipment Profile" xfId="575" xr:uid="{00000000-0005-0000-0000-00003F020000}"/>
    <cellStyle name="Normal 2 4 3" xfId="526" xr:uid="{00000000-0005-0000-0000-00000E020000}"/>
    <cellStyle name="Normal 2 4 3 2" xfId="530" xr:uid="{00000000-0005-0000-0000-000012020000}"/>
    <cellStyle name="Normal 2 4 3_Customized Shipment Profile" xfId="576" xr:uid="{00000000-0005-0000-0000-000040020000}"/>
    <cellStyle name="Normal 2 4 4" xfId="528" xr:uid="{00000000-0005-0000-0000-000010020000}"/>
    <cellStyle name="Normal 2 4 4 2" xfId="532" xr:uid="{00000000-0005-0000-0000-000014020000}"/>
    <cellStyle name="Normal 2 4 4_Customized Shipment Profile" xfId="577" xr:uid="{00000000-0005-0000-0000-000041020000}"/>
    <cellStyle name="Normal 2 4 5" xfId="529" xr:uid="{00000000-0005-0000-0000-000011020000}"/>
    <cellStyle name="Normal 2 4_Customized Shipment Profile" xfId="578" xr:uid="{00000000-0005-0000-0000-000042020000}"/>
    <cellStyle name="Normal 2 5" xfId="447" xr:uid="{00000000-0005-0000-0000-0000BF010000}"/>
    <cellStyle name="Normal 2 6" xfId="448" xr:uid="{00000000-0005-0000-0000-0000C0010000}"/>
    <cellStyle name="Normal 2 7" xfId="449" xr:uid="{00000000-0005-0000-0000-0000C1010000}"/>
    <cellStyle name="Normal 2 7 2" xfId="450" xr:uid="{00000000-0005-0000-0000-0000C2010000}"/>
    <cellStyle name="Normal 2 7 3" xfId="451" xr:uid="{00000000-0005-0000-0000-0000C3010000}"/>
    <cellStyle name="Normal 2 7 4" xfId="452" xr:uid="{00000000-0005-0000-0000-0000C4010000}"/>
    <cellStyle name="Normal 2 7 5" xfId="453" xr:uid="{00000000-0005-0000-0000-0000C5010000}"/>
    <cellStyle name="Normal 2 7 6" xfId="454" xr:uid="{00000000-0005-0000-0000-0000C6010000}"/>
    <cellStyle name="Normal 2 7 7" xfId="558" xr:uid="{00000000-0005-0000-0000-00002E020000}"/>
    <cellStyle name="Normal 2 7_Filter" xfId="559" xr:uid="{00000000-0005-0000-0000-00002F020000}"/>
    <cellStyle name="Normal 2 8" xfId="455" xr:uid="{00000000-0005-0000-0000-0000C7010000}"/>
    <cellStyle name="Normal 2 9" xfId="456" xr:uid="{00000000-0005-0000-0000-0000C8010000}"/>
    <cellStyle name="Normal 2_DSV Shipment Report" xfId="579" xr:uid="{00000000-0005-0000-0000-000043020000}"/>
    <cellStyle name="Normal 3" xfId="50" xr:uid="{00000000-0005-0000-0000-000032000000}"/>
    <cellStyle name="Normal 3 2" xfId="3" xr:uid="{00000000-0005-0000-0000-000003000000}"/>
    <cellStyle name="Normal 3 3" xfId="572" xr:uid="{00000000-0005-0000-0000-00003C020000}"/>
    <cellStyle name="Normal 3_CSP with No Packing Details" xfId="52" xr:uid="{00000000-0005-0000-0000-000034000000}"/>
    <cellStyle name="Normal 4" xfId="44" xr:uid="{00000000-0005-0000-0000-00002C000000}"/>
    <cellStyle name="Normal 4 10" xfId="457" xr:uid="{00000000-0005-0000-0000-0000C9010000}"/>
    <cellStyle name="Normal 4 2" xfId="458" xr:uid="{00000000-0005-0000-0000-0000CA010000}"/>
    <cellStyle name="Normal 4 3" xfId="459" xr:uid="{00000000-0005-0000-0000-0000CB010000}"/>
    <cellStyle name="Normal 4 4" xfId="460" xr:uid="{00000000-0005-0000-0000-0000CC010000}"/>
    <cellStyle name="Normal 4 5" xfId="461" xr:uid="{00000000-0005-0000-0000-0000CD010000}"/>
    <cellStyle name="Normal 4 6" xfId="462" xr:uid="{00000000-0005-0000-0000-0000CE010000}"/>
    <cellStyle name="Normal 4 7" xfId="463" xr:uid="{00000000-0005-0000-0000-0000CF010000}"/>
    <cellStyle name="Normal 4 8" xfId="464" xr:uid="{00000000-0005-0000-0000-0000D0010000}"/>
    <cellStyle name="Normal 4 9" xfId="465" xr:uid="{00000000-0005-0000-0000-0000D1010000}"/>
    <cellStyle name="Normal 4_Filter" xfId="560" xr:uid="{00000000-0005-0000-0000-000030020000}"/>
    <cellStyle name="Normal 5" xfId="466" xr:uid="{00000000-0005-0000-0000-0000D2010000}"/>
    <cellStyle name="Normal 5 2" xfId="467" xr:uid="{00000000-0005-0000-0000-0000D3010000}"/>
    <cellStyle name="Normal 5 2 2" xfId="561" xr:uid="{00000000-0005-0000-0000-000031020000}"/>
    <cellStyle name="Normal 5 2_Filter" xfId="562" xr:uid="{00000000-0005-0000-0000-000032020000}"/>
    <cellStyle name="Normal 5 3" xfId="468" xr:uid="{00000000-0005-0000-0000-0000D4010000}"/>
    <cellStyle name="Normal 5 3 2" xfId="563" xr:uid="{00000000-0005-0000-0000-000033020000}"/>
    <cellStyle name="Normal 5 3_Filter" xfId="564" xr:uid="{00000000-0005-0000-0000-000034020000}"/>
    <cellStyle name="Normal 5 4" xfId="469" xr:uid="{00000000-0005-0000-0000-0000D5010000}"/>
    <cellStyle name="Normal 5 4 2" xfId="565" xr:uid="{00000000-0005-0000-0000-000035020000}"/>
    <cellStyle name="Normal 5 4_Filter" xfId="566" xr:uid="{00000000-0005-0000-0000-000036020000}"/>
    <cellStyle name="Normal 5 5" xfId="470" xr:uid="{00000000-0005-0000-0000-0000D6010000}"/>
    <cellStyle name="Normal 5 5 2" xfId="567" xr:uid="{00000000-0005-0000-0000-000037020000}"/>
    <cellStyle name="Normal 5 5_Filter" xfId="568" xr:uid="{00000000-0005-0000-0000-000038020000}"/>
    <cellStyle name="Normal 5 6" xfId="471" xr:uid="{00000000-0005-0000-0000-0000D7010000}"/>
    <cellStyle name="Normal 5 6 2" xfId="569" xr:uid="{00000000-0005-0000-0000-000039020000}"/>
    <cellStyle name="Normal 5 6_Filter" xfId="570" xr:uid="{00000000-0005-0000-0000-00003A020000}"/>
    <cellStyle name="Normal 5_DSV Shipment Report" xfId="573" xr:uid="{00000000-0005-0000-0000-00003D020000}"/>
    <cellStyle name="Normal 6" xfId="472" xr:uid="{00000000-0005-0000-0000-0000D8010000}"/>
    <cellStyle name="Normal 6 2" xfId="473" xr:uid="{00000000-0005-0000-0000-0000D9010000}"/>
    <cellStyle name="Normal 6 3" xfId="474" xr:uid="{00000000-0005-0000-0000-0000DA010000}"/>
    <cellStyle name="Normal 6_DSV Shipment Report" xfId="574" xr:uid="{00000000-0005-0000-0000-00003E020000}"/>
    <cellStyle name="Normal 7" xfId="475" xr:uid="{00000000-0005-0000-0000-0000DB010000}"/>
    <cellStyle name="Normal 7 2" xfId="476" xr:uid="{00000000-0005-0000-0000-0000DC010000}"/>
    <cellStyle name="Normal 7 3" xfId="477" xr:uid="{00000000-0005-0000-0000-0000DD010000}"/>
    <cellStyle name="Normal 7_Filter" xfId="571" xr:uid="{00000000-0005-0000-0000-00003B020000}"/>
    <cellStyle name="Normal 8" xfId="478" xr:uid="{00000000-0005-0000-0000-0000DE010000}"/>
    <cellStyle name="Normal 9" xfId="479" xr:uid="{00000000-0005-0000-0000-0000DF010000}"/>
    <cellStyle name="Normal_Sheet2" xfId="580" xr:uid="{8BE2E53F-308C-48C7-B108-50DA7BB2A8B4}"/>
    <cellStyle name="Note 2" xfId="45" xr:uid="{00000000-0005-0000-0000-00002D000000}"/>
    <cellStyle name="Note 2 10" xfId="480" xr:uid="{00000000-0005-0000-0000-0000E0010000}"/>
    <cellStyle name="Note 2 2" xfId="481" xr:uid="{00000000-0005-0000-0000-0000E1010000}"/>
    <cellStyle name="Note 2 3" xfId="482" xr:uid="{00000000-0005-0000-0000-0000E2010000}"/>
    <cellStyle name="Note 2 4" xfId="483" xr:uid="{00000000-0005-0000-0000-0000E3010000}"/>
    <cellStyle name="Note 2 5" xfId="484" xr:uid="{00000000-0005-0000-0000-0000E4010000}"/>
    <cellStyle name="Note 2 6" xfId="485" xr:uid="{00000000-0005-0000-0000-0000E5010000}"/>
    <cellStyle name="Note 2 7" xfId="486" xr:uid="{00000000-0005-0000-0000-0000E6010000}"/>
    <cellStyle name="Note 2 8" xfId="487" xr:uid="{00000000-0005-0000-0000-0000E7010000}"/>
    <cellStyle name="Note 2 9" xfId="488" xr:uid="{00000000-0005-0000-0000-0000E8010000}"/>
    <cellStyle name="Output 2" xfId="46" xr:uid="{00000000-0005-0000-0000-00002E000000}"/>
    <cellStyle name="Output 2 10" xfId="489" xr:uid="{00000000-0005-0000-0000-0000E9010000}"/>
    <cellStyle name="Output 2 2" xfId="490" xr:uid="{00000000-0005-0000-0000-0000EA010000}"/>
    <cellStyle name="Output 2 3" xfId="491" xr:uid="{00000000-0005-0000-0000-0000EB010000}"/>
    <cellStyle name="Output 2 4" xfId="492" xr:uid="{00000000-0005-0000-0000-0000EC010000}"/>
    <cellStyle name="Output 2 5" xfId="493" xr:uid="{00000000-0005-0000-0000-0000ED010000}"/>
    <cellStyle name="Output 2 6" xfId="494" xr:uid="{00000000-0005-0000-0000-0000EE010000}"/>
    <cellStyle name="Output 2 7" xfId="495" xr:uid="{00000000-0005-0000-0000-0000EF010000}"/>
    <cellStyle name="Output 2 8" xfId="496" xr:uid="{00000000-0005-0000-0000-0000F0010000}"/>
    <cellStyle name="Output 2 9" xfId="497" xr:uid="{00000000-0005-0000-0000-0000F1010000}"/>
    <cellStyle name="Title 2" xfId="47" xr:uid="{00000000-0005-0000-0000-00002F000000}"/>
    <cellStyle name="Title 2 10" xfId="499" xr:uid="{00000000-0005-0000-0000-0000F3010000}"/>
    <cellStyle name="Title 2 2" xfId="500" xr:uid="{00000000-0005-0000-0000-0000F4010000}"/>
    <cellStyle name="Title 2 3" xfId="501" xr:uid="{00000000-0005-0000-0000-0000F5010000}"/>
    <cellStyle name="Title 2 4" xfId="502" xr:uid="{00000000-0005-0000-0000-0000F6010000}"/>
    <cellStyle name="Title 2 5" xfId="503" xr:uid="{00000000-0005-0000-0000-0000F7010000}"/>
    <cellStyle name="Title 2 6" xfId="504" xr:uid="{00000000-0005-0000-0000-0000F8010000}"/>
    <cellStyle name="Title 2 7" xfId="505" xr:uid="{00000000-0005-0000-0000-0000F9010000}"/>
    <cellStyle name="Title 2 8" xfId="506" xr:uid="{00000000-0005-0000-0000-0000FA010000}"/>
    <cellStyle name="Title 2 9" xfId="507" xr:uid="{00000000-0005-0000-0000-0000FB010000}"/>
    <cellStyle name="Title 2_CSP with No Packing Details" xfId="498" xr:uid="{00000000-0005-0000-0000-0000F2010000}"/>
    <cellStyle name="Total 2" xfId="48" xr:uid="{00000000-0005-0000-0000-000030000000}"/>
    <cellStyle name="Total 2 10" xfId="508" xr:uid="{00000000-0005-0000-0000-0000FC010000}"/>
    <cellStyle name="Total 2 2" xfId="509" xr:uid="{00000000-0005-0000-0000-0000FD010000}"/>
    <cellStyle name="Total 2 3" xfId="510" xr:uid="{00000000-0005-0000-0000-0000FE010000}"/>
    <cellStyle name="Total 2 4" xfId="511" xr:uid="{00000000-0005-0000-0000-0000FF010000}"/>
    <cellStyle name="Total 2 5" xfId="512" xr:uid="{00000000-0005-0000-0000-000000020000}"/>
    <cellStyle name="Total 2 6" xfId="513" xr:uid="{00000000-0005-0000-0000-000001020000}"/>
    <cellStyle name="Total 2 7" xfId="514" xr:uid="{00000000-0005-0000-0000-000002020000}"/>
    <cellStyle name="Total 2 8" xfId="515" xr:uid="{00000000-0005-0000-0000-000003020000}"/>
    <cellStyle name="Total 2 9" xfId="516" xr:uid="{00000000-0005-0000-0000-000004020000}"/>
    <cellStyle name="Warning Text 2" xfId="49" xr:uid="{00000000-0005-0000-0000-000031000000}"/>
    <cellStyle name="Warning Text 2 10" xfId="517" xr:uid="{00000000-0005-0000-0000-000005020000}"/>
    <cellStyle name="Warning Text 2 2" xfId="518" xr:uid="{00000000-0005-0000-0000-000006020000}"/>
    <cellStyle name="Warning Text 2 3" xfId="519" xr:uid="{00000000-0005-0000-0000-000007020000}"/>
    <cellStyle name="Warning Text 2 4" xfId="520" xr:uid="{00000000-0005-0000-0000-000008020000}"/>
    <cellStyle name="Warning Text 2 5" xfId="521" xr:uid="{00000000-0005-0000-0000-000009020000}"/>
    <cellStyle name="Warning Text 2 6" xfId="522" xr:uid="{00000000-0005-0000-0000-00000A020000}"/>
    <cellStyle name="Warning Text 2 7" xfId="523" xr:uid="{00000000-0005-0000-0000-00000B020000}"/>
    <cellStyle name="Warning Text 2 8" xfId="524" xr:uid="{00000000-0005-0000-0000-00000C020000}"/>
    <cellStyle name="Warning Text 2 9" xfId="525" xr:uid="{00000000-0005-0000-0000-00000D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9748"/>
  <sheetViews>
    <sheetView tabSelected="1" workbookViewId="0">
      <pane ySplit="1" topLeftCell="A2" activePane="bottomLeft" state="frozen"/>
      <selection activeCell="J42" sqref="J42"/>
      <selection pane="bottomLeft"/>
    </sheetView>
  </sheetViews>
  <sheetFormatPr defaultRowHeight="15" x14ac:dyDescent="0.25"/>
  <cols>
    <col min="1" max="1" width="16" customWidth="1"/>
    <col min="2" max="2" width="18.28515625" bestFit="1" customWidth="1"/>
    <col min="3" max="3" width="22.28515625" bestFit="1" customWidth="1"/>
    <col min="4" max="5" width="16" customWidth="1"/>
    <col min="6" max="6" width="16" style="8" customWidth="1"/>
    <col min="7" max="10" width="16" customWidth="1"/>
    <col min="11" max="11" width="16" bestFit="1" customWidth="1"/>
    <col min="12" max="12" width="7.7109375" bestFit="1" customWidth="1"/>
    <col min="13" max="13" width="8.85546875" bestFit="1" customWidth="1"/>
  </cols>
  <sheetData>
    <row r="1" spans="1:13" ht="30" customHeight="1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s="6">
        <v>46118.583333333336</v>
      </c>
      <c r="B2" s="11">
        <f t="shared" ref="B2" si="0">MONTH(A2)</f>
        <v>4</v>
      </c>
      <c r="C2" s="11">
        <f t="shared" ref="C2" si="1">WEEKNUM(A2)</f>
        <v>15</v>
      </c>
      <c r="D2" s="5" t="s">
        <v>18</v>
      </c>
      <c r="E2" s="11" t="s">
        <v>14</v>
      </c>
      <c r="F2" s="9" t="s">
        <v>15</v>
      </c>
      <c r="G2" s="11">
        <v>1</v>
      </c>
      <c r="J2" s="7">
        <v>0.15</v>
      </c>
      <c r="K2" s="11">
        <f t="shared" ref="K2" si="2">YEAR(A2)</f>
        <v>2026</v>
      </c>
      <c r="L2" s="11" t="s">
        <v>16</v>
      </c>
      <c r="M2" s="11" t="s">
        <v>17</v>
      </c>
    </row>
    <row r="3" spans="1:13" x14ac:dyDescent="0.25">
      <c r="A3" s="6">
        <v>46118.583333333336</v>
      </c>
      <c r="B3" s="11">
        <f t="shared" ref="B3" si="3">MONTH(A3)</f>
        <v>4</v>
      </c>
      <c r="C3" s="11">
        <f t="shared" ref="C3" si="4">WEEKNUM(A3)</f>
        <v>15</v>
      </c>
      <c r="D3" s="5" t="s">
        <v>18</v>
      </c>
      <c r="E3" s="11" t="s">
        <v>14</v>
      </c>
      <c r="F3" s="9" t="s">
        <v>15</v>
      </c>
      <c r="G3" s="11">
        <v>1</v>
      </c>
      <c r="J3" s="7">
        <v>1.01</v>
      </c>
      <c r="K3" s="11">
        <f t="shared" ref="K3:K66" si="5">YEAR(A3)</f>
        <v>2026</v>
      </c>
      <c r="L3" s="11" t="s">
        <v>16</v>
      </c>
      <c r="M3" s="11" t="s">
        <v>17</v>
      </c>
    </row>
    <row r="4" spans="1:13" x14ac:dyDescent="0.25">
      <c r="A4" s="6">
        <v>46121.791666666664</v>
      </c>
      <c r="B4" s="11">
        <f t="shared" ref="B4:B67" si="6">MONTH(A4)</f>
        <v>4</v>
      </c>
      <c r="C4" s="11">
        <f t="shared" ref="C4:C67" si="7">WEEKNUM(A4)</f>
        <v>15</v>
      </c>
      <c r="D4" s="5" t="s">
        <v>18</v>
      </c>
      <c r="E4" s="11" t="s">
        <v>14</v>
      </c>
      <c r="F4" s="9" t="s">
        <v>22</v>
      </c>
      <c r="G4" s="11">
        <v>1</v>
      </c>
      <c r="J4" s="7">
        <v>0.76600000000000001</v>
      </c>
      <c r="K4" s="11">
        <f t="shared" si="5"/>
        <v>2026</v>
      </c>
      <c r="L4" s="11" t="s">
        <v>16</v>
      </c>
      <c r="M4" s="11" t="s">
        <v>17</v>
      </c>
    </row>
    <row r="5" spans="1:13" x14ac:dyDescent="0.25">
      <c r="A5" s="6">
        <v>46123</v>
      </c>
      <c r="B5" s="11">
        <f t="shared" si="6"/>
        <v>4</v>
      </c>
      <c r="C5" s="11">
        <f t="shared" si="7"/>
        <v>15</v>
      </c>
      <c r="D5" s="5" t="s">
        <v>18</v>
      </c>
      <c r="E5" s="11" t="s">
        <v>14</v>
      </c>
      <c r="F5" s="9" t="s">
        <v>22</v>
      </c>
      <c r="G5" s="11">
        <v>1</v>
      </c>
      <c r="J5" s="7">
        <v>0.57599999999999996</v>
      </c>
      <c r="K5" s="11">
        <f t="shared" si="5"/>
        <v>2026</v>
      </c>
      <c r="L5" s="11" t="s">
        <v>16</v>
      </c>
      <c r="M5" s="11" t="s">
        <v>17</v>
      </c>
    </row>
    <row r="6" spans="1:13" x14ac:dyDescent="0.25">
      <c r="A6" s="6">
        <v>46123</v>
      </c>
      <c r="B6" s="11">
        <f t="shared" si="6"/>
        <v>4</v>
      </c>
      <c r="C6" s="11">
        <f t="shared" si="7"/>
        <v>15</v>
      </c>
      <c r="D6" s="5" t="s">
        <v>18</v>
      </c>
      <c r="E6" s="11" t="s">
        <v>14</v>
      </c>
      <c r="F6" s="9" t="s">
        <v>22</v>
      </c>
      <c r="G6" s="11">
        <v>1</v>
      </c>
      <c r="J6" s="7">
        <v>3.1859999999999999</v>
      </c>
      <c r="K6" s="11">
        <f t="shared" si="5"/>
        <v>2026</v>
      </c>
      <c r="L6" s="11" t="s">
        <v>16</v>
      </c>
      <c r="M6" s="11" t="s">
        <v>17</v>
      </c>
    </row>
    <row r="7" spans="1:13" x14ac:dyDescent="0.25">
      <c r="A7" s="6">
        <v>46118.583333333336</v>
      </c>
      <c r="B7" s="11">
        <f t="shared" si="6"/>
        <v>4</v>
      </c>
      <c r="C7" s="11">
        <f t="shared" si="7"/>
        <v>15</v>
      </c>
      <c r="D7" s="5" t="s">
        <v>18</v>
      </c>
      <c r="E7" s="11" t="s">
        <v>14</v>
      </c>
      <c r="F7" s="9" t="s">
        <v>15</v>
      </c>
      <c r="G7" s="11">
        <v>1</v>
      </c>
      <c r="J7" s="7">
        <v>2.0110000000000001</v>
      </c>
      <c r="K7" s="11">
        <f t="shared" si="5"/>
        <v>2026</v>
      </c>
      <c r="L7" s="11" t="s">
        <v>16</v>
      </c>
      <c r="M7" s="11" t="s">
        <v>17</v>
      </c>
    </row>
    <row r="8" spans="1:13" x14ac:dyDescent="0.25">
      <c r="A8" s="6">
        <v>46118.583333333336</v>
      </c>
      <c r="B8" s="11">
        <f t="shared" si="6"/>
        <v>4</v>
      </c>
      <c r="C8" s="11">
        <f t="shared" si="7"/>
        <v>15</v>
      </c>
      <c r="D8" s="5" t="s">
        <v>18</v>
      </c>
      <c r="E8" s="11" t="s">
        <v>14</v>
      </c>
      <c r="F8" s="9" t="s">
        <v>15</v>
      </c>
      <c r="G8" s="11">
        <v>1</v>
      </c>
      <c r="J8" s="7">
        <v>1.7689999999999999</v>
      </c>
      <c r="K8" s="11">
        <f t="shared" si="5"/>
        <v>2026</v>
      </c>
      <c r="L8" s="11" t="s">
        <v>16</v>
      </c>
      <c r="M8" s="11" t="s">
        <v>17</v>
      </c>
    </row>
    <row r="9" spans="1:13" x14ac:dyDescent="0.25">
      <c r="A9" s="6">
        <v>46118.583333333336</v>
      </c>
      <c r="B9" s="11">
        <f t="shared" si="6"/>
        <v>4</v>
      </c>
      <c r="C9" s="11">
        <f t="shared" si="7"/>
        <v>15</v>
      </c>
      <c r="D9" s="5" t="s">
        <v>18</v>
      </c>
      <c r="E9" s="11" t="s">
        <v>14</v>
      </c>
      <c r="F9" s="9" t="s">
        <v>15</v>
      </c>
      <c r="G9" s="11">
        <v>1</v>
      </c>
      <c r="J9" s="7">
        <v>2.06</v>
      </c>
      <c r="K9" s="11">
        <f t="shared" si="5"/>
        <v>2026</v>
      </c>
      <c r="L9" s="11" t="s">
        <v>16</v>
      </c>
      <c r="M9" s="11" t="s">
        <v>17</v>
      </c>
    </row>
    <row r="10" spans="1:13" x14ac:dyDescent="0.25">
      <c r="A10" s="6">
        <v>46118.583333333336</v>
      </c>
      <c r="B10" s="11">
        <f t="shared" si="6"/>
        <v>4</v>
      </c>
      <c r="C10" s="11">
        <f t="shared" si="7"/>
        <v>15</v>
      </c>
      <c r="D10" s="5" t="s">
        <v>18</v>
      </c>
      <c r="E10" s="11" t="s">
        <v>14</v>
      </c>
      <c r="F10" s="9" t="s">
        <v>15</v>
      </c>
      <c r="G10" s="11">
        <v>1</v>
      </c>
      <c r="J10" s="7">
        <v>5.375</v>
      </c>
      <c r="K10" s="11">
        <f t="shared" si="5"/>
        <v>2026</v>
      </c>
      <c r="L10" s="11" t="s">
        <v>16</v>
      </c>
      <c r="M10" s="11" t="s">
        <v>17</v>
      </c>
    </row>
    <row r="11" spans="1:13" x14ac:dyDescent="0.25">
      <c r="A11" s="6">
        <v>46119</v>
      </c>
      <c r="B11" s="11">
        <f t="shared" si="6"/>
        <v>4</v>
      </c>
      <c r="C11" s="11">
        <f t="shared" si="7"/>
        <v>15</v>
      </c>
      <c r="D11" s="5" t="s">
        <v>18</v>
      </c>
      <c r="E11" s="11" t="s">
        <v>14</v>
      </c>
      <c r="F11" s="9" t="s">
        <v>22</v>
      </c>
      <c r="G11" s="11">
        <v>1</v>
      </c>
      <c r="J11" s="7">
        <v>6.5940000000000003</v>
      </c>
      <c r="K11" s="11">
        <f t="shared" si="5"/>
        <v>2026</v>
      </c>
      <c r="L11" s="11" t="s">
        <v>16</v>
      </c>
      <c r="M11" s="11" t="s">
        <v>17</v>
      </c>
    </row>
    <row r="12" spans="1:13" x14ac:dyDescent="0.25">
      <c r="A12" s="6">
        <v>46119</v>
      </c>
      <c r="B12" s="11">
        <f t="shared" si="6"/>
        <v>4</v>
      </c>
      <c r="C12" s="11">
        <f t="shared" si="7"/>
        <v>15</v>
      </c>
      <c r="D12" s="5" t="s">
        <v>18</v>
      </c>
      <c r="E12" s="11" t="s">
        <v>14</v>
      </c>
      <c r="F12" s="9" t="s">
        <v>22</v>
      </c>
      <c r="G12" s="11">
        <v>1</v>
      </c>
      <c r="J12" s="7">
        <v>0.99</v>
      </c>
      <c r="K12" s="11">
        <f t="shared" si="5"/>
        <v>2026</v>
      </c>
      <c r="L12" s="11" t="s">
        <v>16</v>
      </c>
      <c r="M12" s="11" t="s">
        <v>17</v>
      </c>
    </row>
    <row r="13" spans="1:13" x14ac:dyDescent="0.25">
      <c r="A13" s="6">
        <v>46118.583333333336</v>
      </c>
      <c r="B13" s="11">
        <f t="shared" si="6"/>
        <v>4</v>
      </c>
      <c r="C13" s="11">
        <f t="shared" si="7"/>
        <v>15</v>
      </c>
      <c r="D13" s="5" t="s">
        <v>18</v>
      </c>
      <c r="E13" s="11" t="s">
        <v>14</v>
      </c>
      <c r="F13" s="9" t="s">
        <v>15</v>
      </c>
      <c r="G13" s="11">
        <v>1</v>
      </c>
      <c r="J13" s="7">
        <v>3.331</v>
      </c>
      <c r="K13" s="11">
        <f t="shared" si="5"/>
        <v>2026</v>
      </c>
      <c r="L13" s="11" t="s">
        <v>16</v>
      </c>
      <c r="M13" s="11" t="s">
        <v>17</v>
      </c>
    </row>
    <row r="14" spans="1:13" x14ac:dyDescent="0.25">
      <c r="A14" s="6">
        <v>46118.583333333336</v>
      </c>
      <c r="B14" s="11">
        <f t="shared" si="6"/>
        <v>4</v>
      </c>
      <c r="C14" s="11">
        <f t="shared" si="7"/>
        <v>15</v>
      </c>
      <c r="D14" s="5" t="s">
        <v>18</v>
      </c>
      <c r="E14" s="11" t="s">
        <v>14</v>
      </c>
      <c r="F14" s="9" t="s">
        <v>15</v>
      </c>
      <c r="G14" s="11">
        <v>1</v>
      </c>
      <c r="J14" s="7">
        <v>1.3959999999999999</v>
      </c>
      <c r="K14" s="11">
        <f t="shared" si="5"/>
        <v>2026</v>
      </c>
      <c r="L14" s="11" t="s">
        <v>16</v>
      </c>
      <c r="M14" s="11" t="s">
        <v>17</v>
      </c>
    </row>
    <row r="15" spans="1:13" x14ac:dyDescent="0.25">
      <c r="A15" s="6">
        <v>46119.833333333336</v>
      </c>
      <c r="B15" s="11">
        <f t="shared" si="6"/>
        <v>4</v>
      </c>
      <c r="C15" s="11">
        <f t="shared" si="7"/>
        <v>15</v>
      </c>
      <c r="D15" s="5" t="s">
        <v>18</v>
      </c>
      <c r="E15" s="11" t="s">
        <v>14</v>
      </c>
      <c r="F15" s="9" t="s">
        <v>15</v>
      </c>
      <c r="G15" s="11">
        <v>1</v>
      </c>
      <c r="J15" s="7">
        <v>4.6769999999999996</v>
      </c>
      <c r="K15" s="11">
        <f t="shared" si="5"/>
        <v>2026</v>
      </c>
      <c r="L15" s="11" t="s">
        <v>16</v>
      </c>
      <c r="M15" s="11" t="s">
        <v>17</v>
      </c>
    </row>
    <row r="16" spans="1:13" x14ac:dyDescent="0.25">
      <c r="A16" s="6">
        <v>46123</v>
      </c>
      <c r="B16" s="11">
        <f t="shared" si="6"/>
        <v>4</v>
      </c>
      <c r="C16" s="11">
        <f t="shared" si="7"/>
        <v>15</v>
      </c>
      <c r="D16" s="5" t="s">
        <v>18</v>
      </c>
      <c r="E16" s="11" t="s">
        <v>14</v>
      </c>
      <c r="F16" s="9" t="s">
        <v>22</v>
      </c>
      <c r="G16" s="11">
        <v>1</v>
      </c>
      <c r="J16" s="7">
        <v>0.58099999999999996</v>
      </c>
      <c r="K16" s="11">
        <f t="shared" si="5"/>
        <v>2026</v>
      </c>
      <c r="L16" s="11" t="s">
        <v>16</v>
      </c>
      <c r="M16" s="11" t="s">
        <v>17</v>
      </c>
    </row>
    <row r="17" spans="1:13" x14ac:dyDescent="0.25">
      <c r="A17" s="6">
        <v>46119.208333333336</v>
      </c>
      <c r="B17" s="11">
        <f t="shared" si="6"/>
        <v>4</v>
      </c>
      <c r="C17" s="11">
        <f t="shared" si="7"/>
        <v>15</v>
      </c>
      <c r="D17" s="5" t="s">
        <v>18</v>
      </c>
      <c r="E17" s="11" t="s">
        <v>14</v>
      </c>
      <c r="F17" s="9" t="s">
        <v>15</v>
      </c>
      <c r="G17" s="11">
        <v>1</v>
      </c>
      <c r="J17" s="7">
        <v>0.40400000000000003</v>
      </c>
      <c r="K17" s="11">
        <f t="shared" si="5"/>
        <v>2026</v>
      </c>
      <c r="L17" s="11" t="s">
        <v>16</v>
      </c>
      <c r="M17" s="11" t="s">
        <v>17</v>
      </c>
    </row>
    <row r="18" spans="1:13" x14ac:dyDescent="0.25">
      <c r="A18" s="6">
        <v>46123</v>
      </c>
      <c r="B18" s="11">
        <f t="shared" si="6"/>
        <v>4</v>
      </c>
      <c r="C18" s="11">
        <f t="shared" si="7"/>
        <v>15</v>
      </c>
      <c r="D18" s="5" t="s">
        <v>18</v>
      </c>
      <c r="E18" s="11" t="s">
        <v>14</v>
      </c>
      <c r="F18" s="9" t="s">
        <v>22</v>
      </c>
      <c r="G18" s="11">
        <v>1</v>
      </c>
      <c r="J18" s="7">
        <v>0.58099999999999996</v>
      </c>
      <c r="K18" s="11">
        <f t="shared" si="5"/>
        <v>2026</v>
      </c>
      <c r="L18" s="11" t="s">
        <v>16</v>
      </c>
      <c r="M18" s="11" t="s">
        <v>17</v>
      </c>
    </row>
    <row r="19" spans="1:13" x14ac:dyDescent="0.25">
      <c r="A19" s="6">
        <v>46117.448611111111</v>
      </c>
      <c r="B19" s="11">
        <f t="shared" si="6"/>
        <v>4</v>
      </c>
      <c r="C19" s="11">
        <f t="shared" si="7"/>
        <v>15</v>
      </c>
      <c r="D19" s="5" t="s">
        <v>18</v>
      </c>
      <c r="E19" s="11" t="s">
        <v>14</v>
      </c>
      <c r="F19" s="9" t="s">
        <v>22</v>
      </c>
      <c r="G19" s="11">
        <v>1</v>
      </c>
      <c r="J19" s="7">
        <v>0.26300000000000001</v>
      </c>
      <c r="K19" s="11">
        <f t="shared" si="5"/>
        <v>2026</v>
      </c>
      <c r="L19" s="11" t="s">
        <v>16</v>
      </c>
      <c r="M19" s="11" t="s">
        <v>17</v>
      </c>
    </row>
    <row r="20" spans="1:13" x14ac:dyDescent="0.25">
      <c r="A20" s="6">
        <v>46119.208333333336</v>
      </c>
      <c r="B20" s="11">
        <f t="shared" si="6"/>
        <v>4</v>
      </c>
      <c r="C20" s="11">
        <f t="shared" si="7"/>
        <v>15</v>
      </c>
      <c r="D20" s="5" t="s">
        <v>18</v>
      </c>
      <c r="E20" s="11" t="s">
        <v>14</v>
      </c>
      <c r="F20" s="9" t="s">
        <v>15</v>
      </c>
      <c r="G20" s="11">
        <v>1</v>
      </c>
      <c r="J20" s="7">
        <v>0.63800000000000001</v>
      </c>
      <c r="K20" s="11">
        <f t="shared" si="5"/>
        <v>2026</v>
      </c>
      <c r="L20" s="11" t="s">
        <v>16</v>
      </c>
      <c r="M20" s="11" t="s">
        <v>17</v>
      </c>
    </row>
    <row r="21" spans="1:13" x14ac:dyDescent="0.25">
      <c r="A21" s="6">
        <v>46119.208333333336</v>
      </c>
      <c r="B21" s="11">
        <f t="shared" si="6"/>
        <v>4</v>
      </c>
      <c r="C21" s="11">
        <f t="shared" si="7"/>
        <v>15</v>
      </c>
      <c r="D21" s="5" t="s">
        <v>18</v>
      </c>
      <c r="E21" s="11" t="s">
        <v>14</v>
      </c>
      <c r="F21" s="9" t="s">
        <v>15</v>
      </c>
      <c r="G21" s="11">
        <v>1</v>
      </c>
      <c r="J21" s="7">
        <v>0.746</v>
      </c>
      <c r="K21" s="11">
        <f t="shared" si="5"/>
        <v>2026</v>
      </c>
      <c r="L21" s="11" t="s">
        <v>16</v>
      </c>
      <c r="M21" s="11" t="s">
        <v>17</v>
      </c>
    </row>
    <row r="22" spans="1:13" x14ac:dyDescent="0.25">
      <c r="A22" s="6">
        <v>46119.208333333336</v>
      </c>
      <c r="B22" s="11">
        <f t="shared" si="6"/>
        <v>4</v>
      </c>
      <c r="C22" s="11">
        <f t="shared" si="7"/>
        <v>15</v>
      </c>
      <c r="D22" s="5" t="s">
        <v>18</v>
      </c>
      <c r="E22" s="11" t="s">
        <v>14</v>
      </c>
      <c r="F22" s="9" t="s">
        <v>15</v>
      </c>
      <c r="G22" s="11">
        <v>1</v>
      </c>
      <c r="J22" s="7">
        <v>4.9000000000000002E-2</v>
      </c>
      <c r="K22" s="11">
        <f t="shared" si="5"/>
        <v>2026</v>
      </c>
      <c r="L22" s="11" t="s">
        <v>16</v>
      </c>
      <c r="M22" s="11" t="s">
        <v>17</v>
      </c>
    </row>
    <row r="23" spans="1:13" x14ac:dyDescent="0.25">
      <c r="A23" s="6">
        <v>46119.208333333336</v>
      </c>
      <c r="B23" s="11">
        <f t="shared" si="6"/>
        <v>4</v>
      </c>
      <c r="C23" s="11">
        <f t="shared" si="7"/>
        <v>15</v>
      </c>
      <c r="D23" s="5" t="s">
        <v>18</v>
      </c>
      <c r="E23" s="11" t="s">
        <v>14</v>
      </c>
      <c r="F23" s="9" t="s">
        <v>15</v>
      </c>
      <c r="G23" s="11">
        <v>1</v>
      </c>
      <c r="J23" s="7">
        <v>3.835</v>
      </c>
      <c r="K23" s="11">
        <f t="shared" si="5"/>
        <v>2026</v>
      </c>
      <c r="L23" s="11" t="s">
        <v>16</v>
      </c>
      <c r="M23" s="11" t="s">
        <v>17</v>
      </c>
    </row>
    <row r="24" spans="1:13" x14ac:dyDescent="0.25">
      <c r="A24" s="6">
        <v>46119.208333333336</v>
      </c>
      <c r="B24" s="11">
        <f t="shared" si="6"/>
        <v>4</v>
      </c>
      <c r="C24" s="11">
        <f t="shared" si="7"/>
        <v>15</v>
      </c>
      <c r="D24" s="5" t="s">
        <v>18</v>
      </c>
      <c r="E24" s="11" t="s">
        <v>14</v>
      </c>
      <c r="F24" s="9" t="s">
        <v>15</v>
      </c>
      <c r="G24" s="11">
        <v>1</v>
      </c>
      <c r="J24" s="7">
        <v>0.28799999999999998</v>
      </c>
      <c r="K24" s="11">
        <f t="shared" si="5"/>
        <v>2026</v>
      </c>
      <c r="L24" s="11" t="s">
        <v>16</v>
      </c>
      <c r="M24" s="11" t="s">
        <v>17</v>
      </c>
    </row>
    <row r="25" spans="1:13" x14ac:dyDescent="0.25">
      <c r="A25" s="6">
        <v>46119.208333333336</v>
      </c>
      <c r="B25" s="11">
        <f t="shared" si="6"/>
        <v>4</v>
      </c>
      <c r="C25" s="11">
        <f t="shared" si="7"/>
        <v>15</v>
      </c>
      <c r="D25" s="5" t="s">
        <v>18</v>
      </c>
      <c r="E25" s="11" t="s">
        <v>14</v>
      </c>
      <c r="F25" s="9" t="s">
        <v>15</v>
      </c>
      <c r="G25" s="11">
        <v>1</v>
      </c>
      <c r="J25" s="7">
        <v>0.23499999999999999</v>
      </c>
      <c r="K25" s="11">
        <f t="shared" si="5"/>
        <v>2026</v>
      </c>
      <c r="L25" s="11" t="s">
        <v>16</v>
      </c>
      <c r="M25" s="11" t="s">
        <v>17</v>
      </c>
    </row>
    <row r="26" spans="1:13" x14ac:dyDescent="0.25">
      <c r="A26" s="6">
        <v>46123</v>
      </c>
      <c r="B26" s="11">
        <f t="shared" si="6"/>
        <v>4</v>
      </c>
      <c r="C26" s="11">
        <f t="shared" si="7"/>
        <v>15</v>
      </c>
      <c r="D26" s="5" t="s">
        <v>18</v>
      </c>
      <c r="E26" s="11" t="s">
        <v>14</v>
      </c>
      <c r="F26" s="9" t="s">
        <v>22</v>
      </c>
      <c r="G26" s="11">
        <v>1</v>
      </c>
      <c r="J26" s="7">
        <v>1.052</v>
      </c>
      <c r="K26" s="11">
        <f t="shared" si="5"/>
        <v>2026</v>
      </c>
      <c r="L26" s="11" t="s">
        <v>16</v>
      </c>
      <c r="M26" s="11" t="s">
        <v>17</v>
      </c>
    </row>
    <row r="27" spans="1:13" x14ac:dyDescent="0.25">
      <c r="A27" s="6">
        <v>46119.208333333336</v>
      </c>
      <c r="B27" s="11">
        <f t="shared" si="6"/>
        <v>4</v>
      </c>
      <c r="C27" s="11">
        <f t="shared" si="7"/>
        <v>15</v>
      </c>
      <c r="D27" s="5" t="s">
        <v>18</v>
      </c>
      <c r="E27" s="11" t="s">
        <v>14</v>
      </c>
      <c r="F27" s="9" t="s">
        <v>15</v>
      </c>
      <c r="G27" s="11">
        <v>1</v>
      </c>
      <c r="J27" s="7">
        <v>0.63800000000000001</v>
      </c>
      <c r="K27" s="11">
        <f t="shared" si="5"/>
        <v>2026</v>
      </c>
      <c r="L27" s="11" t="s">
        <v>16</v>
      </c>
      <c r="M27" s="11" t="s">
        <v>17</v>
      </c>
    </row>
    <row r="28" spans="1:13" x14ac:dyDescent="0.25">
      <c r="A28" s="6">
        <v>46119</v>
      </c>
      <c r="B28" s="11">
        <f t="shared" si="6"/>
        <v>4</v>
      </c>
      <c r="C28" s="11">
        <f t="shared" si="7"/>
        <v>15</v>
      </c>
      <c r="D28" s="5" t="s">
        <v>18</v>
      </c>
      <c r="E28" s="11" t="s">
        <v>14</v>
      </c>
      <c r="F28" s="9" t="s">
        <v>22</v>
      </c>
      <c r="G28" s="11">
        <v>1</v>
      </c>
      <c r="J28" s="7">
        <v>0.48199999999999998</v>
      </c>
      <c r="K28" s="11">
        <f t="shared" si="5"/>
        <v>2026</v>
      </c>
      <c r="L28" s="11" t="s">
        <v>16</v>
      </c>
      <c r="M28" s="11" t="s">
        <v>17</v>
      </c>
    </row>
    <row r="29" spans="1:13" x14ac:dyDescent="0.25">
      <c r="A29" s="6">
        <v>46119.208333333336</v>
      </c>
      <c r="B29" s="11">
        <f t="shared" si="6"/>
        <v>4</v>
      </c>
      <c r="C29" s="11">
        <f t="shared" si="7"/>
        <v>15</v>
      </c>
      <c r="D29" s="5" t="s">
        <v>18</v>
      </c>
      <c r="E29" s="11" t="s">
        <v>14</v>
      </c>
      <c r="F29" s="9" t="s">
        <v>15</v>
      </c>
      <c r="G29" s="11">
        <v>1</v>
      </c>
      <c r="J29" s="7">
        <v>1.6080000000000001</v>
      </c>
      <c r="K29" s="11">
        <f t="shared" si="5"/>
        <v>2026</v>
      </c>
      <c r="L29" s="11" t="s">
        <v>16</v>
      </c>
      <c r="M29" s="11" t="s">
        <v>17</v>
      </c>
    </row>
    <row r="30" spans="1:13" x14ac:dyDescent="0.25">
      <c r="A30" s="6">
        <v>46119.208333333336</v>
      </c>
      <c r="B30" s="11">
        <f t="shared" si="6"/>
        <v>4</v>
      </c>
      <c r="C30" s="11">
        <f t="shared" si="7"/>
        <v>15</v>
      </c>
      <c r="D30" s="5" t="s">
        <v>18</v>
      </c>
      <c r="E30" s="11" t="s">
        <v>14</v>
      </c>
      <c r="F30" s="9" t="s">
        <v>15</v>
      </c>
      <c r="G30" s="11">
        <v>1</v>
      </c>
      <c r="J30" s="7">
        <v>0.10100000000000001</v>
      </c>
      <c r="K30" s="11">
        <f t="shared" si="5"/>
        <v>2026</v>
      </c>
      <c r="L30" s="11" t="s">
        <v>16</v>
      </c>
      <c r="M30" s="11" t="s">
        <v>17</v>
      </c>
    </row>
    <row r="31" spans="1:13" x14ac:dyDescent="0.25">
      <c r="A31" s="6">
        <v>46119.208333333336</v>
      </c>
      <c r="B31" s="11">
        <f t="shared" si="6"/>
        <v>4</v>
      </c>
      <c r="C31" s="11">
        <f t="shared" si="7"/>
        <v>15</v>
      </c>
      <c r="D31" s="5" t="s">
        <v>18</v>
      </c>
      <c r="E31" s="11" t="s">
        <v>14</v>
      </c>
      <c r="F31" s="9" t="s">
        <v>15</v>
      </c>
      <c r="G31" s="11">
        <v>1</v>
      </c>
      <c r="J31" s="7">
        <v>0.63800000000000001</v>
      </c>
      <c r="K31" s="11">
        <f t="shared" si="5"/>
        <v>2026</v>
      </c>
      <c r="L31" s="11" t="s">
        <v>16</v>
      </c>
      <c r="M31" s="11" t="s">
        <v>17</v>
      </c>
    </row>
    <row r="32" spans="1:13" x14ac:dyDescent="0.25">
      <c r="A32" s="6">
        <v>46119.208333333336</v>
      </c>
      <c r="B32" s="11">
        <f t="shared" si="6"/>
        <v>4</v>
      </c>
      <c r="C32" s="11">
        <f t="shared" si="7"/>
        <v>15</v>
      </c>
      <c r="D32" s="5" t="s">
        <v>18</v>
      </c>
      <c r="E32" s="11" t="s">
        <v>14</v>
      </c>
      <c r="F32" s="9" t="s">
        <v>15</v>
      </c>
      <c r="G32" s="11">
        <v>1</v>
      </c>
      <c r="J32" s="7">
        <v>1.6850000000000001</v>
      </c>
      <c r="K32" s="11">
        <f t="shared" si="5"/>
        <v>2026</v>
      </c>
      <c r="L32" s="11" t="s">
        <v>16</v>
      </c>
      <c r="M32" s="11" t="s">
        <v>17</v>
      </c>
    </row>
    <row r="33" spans="1:13" x14ac:dyDescent="0.25">
      <c r="A33" s="6">
        <v>46122</v>
      </c>
      <c r="B33" s="11">
        <f t="shared" si="6"/>
        <v>4</v>
      </c>
      <c r="C33" s="11">
        <f t="shared" si="7"/>
        <v>15</v>
      </c>
      <c r="D33" s="5" t="s">
        <v>18</v>
      </c>
      <c r="E33" s="11" t="s">
        <v>14</v>
      </c>
      <c r="F33" s="9" t="s">
        <v>22</v>
      </c>
      <c r="G33" s="11">
        <v>1</v>
      </c>
      <c r="J33" s="7">
        <v>0.26400000000000001</v>
      </c>
      <c r="K33" s="11">
        <f t="shared" si="5"/>
        <v>2026</v>
      </c>
      <c r="L33" s="11" t="s">
        <v>16</v>
      </c>
      <c r="M33" s="11" t="s">
        <v>17</v>
      </c>
    </row>
    <row r="34" spans="1:13" x14ac:dyDescent="0.25">
      <c r="A34" s="6">
        <v>46119.208333333336</v>
      </c>
      <c r="B34" s="11">
        <f t="shared" si="6"/>
        <v>4</v>
      </c>
      <c r="C34" s="11">
        <f t="shared" si="7"/>
        <v>15</v>
      </c>
      <c r="D34" s="5" t="s">
        <v>18</v>
      </c>
      <c r="E34" s="11" t="s">
        <v>14</v>
      </c>
      <c r="F34" s="9" t="s">
        <v>15</v>
      </c>
      <c r="G34" s="11">
        <v>1</v>
      </c>
      <c r="J34" s="7">
        <v>3.6909999999999998</v>
      </c>
      <c r="K34" s="11">
        <f t="shared" si="5"/>
        <v>2026</v>
      </c>
      <c r="L34" s="11" t="s">
        <v>16</v>
      </c>
      <c r="M34" s="11" t="s">
        <v>17</v>
      </c>
    </row>
    <row r="35" spans="1:13" x14ac:dyDescent="0.25">
      <c r="A35" s="6">
        <v>46119.208333333336</v>
      </c>
      <c r="B35" s="11">
        <f t="shared" si="6"/>
        <v>4</v>
      </c>
      <c r="C35" s="11">
        <f t="shared" si="7"/>
        <v>15</v>
      </c>
      <c r="D35" s="5" t="s">
        <v>18</v>
      </c>
      <c r="E35" s="11" t="s">
        <v>14</v>
      </c>
      <c r="F35" s="9" t="s">
        <v>15</v>
      </c>
      <c r="G35" s="11">
        <v>1</v>
      </c>
      <c r="J35" s="7">
        <v>0.33100000000000002</v>
      </c>
      <c r="K35" s="11">
        <f t="shared" si="5"/>
        <v>2026</v>
      </c>
      <c r="L35" s="11" t="s">
        <v>16</v>
      </c>
      <c r="M35" s="11" t="s">
        <v>17</v>
      </c>
    </row>
    <row r="36" spans="1:13" x14ac:dyDescent="0.25">
      <c r="A36" s="6">
        <v>46119.208333333336</v>
      </c>
      <c r="B36" s="11">
        <f t="shared" si="6"/>
        <v>4</v>
      </c>
      <c r="C36" s="11">
        <f t="shared" si="7"/>
        <v>15</v>
      </c>
      <c r="D36" s="5" t="s">
        <v>18</v>
      </c>
      <c r="E36" s="11" t="s">
        <v>14</v>
      </c>
      <c r="F36" s="9" t="s">
        <v>15</v>
      </c>
      <c r="G36" s="11">
        <v>1</v>
      </c>
      <c r="J36" s="7">
        <v>0.66200000000000003</v>
      </c>
      <c r="K36" s="11">
        <f t="shared" si="5"/>
        <v>2026</v>
      </c>
      <c r="L36" s="11" t="s">
        <v>16</v>
      </c>
      <c r="M36" s="11" t="s">
        <v>17</v>
      </c>
    </row>
    <row r="37" spans="1:13" x14ac:dyDescent="0.25">
      <c r="A37" s="6">
        <v>46119.208333333336</v>
      </c>
      <c r="B37" s="11">
        <f t="shared" si="6"/>
        <v>4</v>
      </c>
      <c r="C37" s="11">
        <f t="shared" si="7"/>
        <v>15</v>
      </c>
      <c r="D37" s="5" t="s">
        <v>18</v>
      </c>
      <c r="E37" s="11" t="s">
        <v>14</v>
      </c>
      <c r="F37" s="9" t="s">
        <v>15</v>
      </c>
      <c r="G37" s="11">
        <v>1</v>
      </c>
      <c r="J37" s="7">
        <v>1.327</v>
      </c>
      <c r="K37" s="11">
        <f t="shared" si="5"/>
        <v>2026</v>
      </c>
      <c r="L37" s="11" t="s">
        <v>16</v>
      </c>
      <c r="M37" s="11" t="s">
        <v>17</v>
      </c>
    </row>
    <row r="38" spans="1:13" x14ac:dyDescent="0.25">
      <c r="A38" s="6">
        <v>46122</v>
      </c>
      <c r="B38" s="11">
        <f t="shared" si="6"/>
        <v>4</v>
      </c>
      <c r="C38" s="11">
        <f t="shared" si="7"/>
        <v>15</v>
      </c>
      <c r="D38" s="5" t="s">
        <v>18</v>
      </c>
      <c r="E38" s="11" t="s">
        <v>14</v>
      </c>
      <c r="F38" s="9" t="s">
        <v>22</v>
      </c>
      <c r="G38" s="11">
        <v>1</v>
      </c>
      <c r="J38" s="7">
        <v>0.18</v>
      </c>
      <c r="K38" s="11">
        <f t="shared" si="5"/>
        <v>2026</v>
      </c>
      <c r="L38" s="11" t="s">
        <v>16</v>
      </c>
      <c r="M38" s="11" t="s">
        <v>17</v>
      </c>
    </row>
    <row r="39" spans="1:13" x14ac:dyDescent="0.25">
      <c r="A39" s="6">
        <v>46123.793749999997</v>
      </c>
      <c r="B39" s="11">
        <f t="shared" si="6"/>
        <v>4</v>
      </c>
      <c r="C39" s="11">
        <f t="shared" si="7"/>
        <v>15</v>
      </c>
      <c r="D39" s="5" t="s">
        <v>18</v>
      </c>
      <c r="E39" s="11" t="s">
        <v>14</v>
      </c>
      <c r="F39" s="9" t="s">
        <v>22</v>
      </c>
      <c r="G39" s="11">
        <v>1</v>
      </c>
      <c r="J39" s="7">
        <v>0.498</v>
      </c>
      <c r="K39" s="11">
        <f t="shared" si="5"/>
        <v>2026</v>
      </c>
      <c r="L39" s="11" t="s">
        <v>16</v>
      </c>
      <c r="M39" s="11" t="s">
        <v>17</v>
      </c>
    </row>
    <row r="40" spans="1:13" x14ac:dyDescent="0.25">
      <c r="A40" s="6">
        <v>46119.833333333336</v>
      </c>
      <c r="B40" s="11">
        <f t="shared" si="6"/>
        <v>4</v>
      </c>
      <c r="C40" s="11">
        <f t="shared" si="7"/>
        <v>15</v>
      </c>
      <c r="D40" s="5" t="s">
        <v>19</v>
      </c>
      <c r="E40" s="11" t="s">
        <v>14</v>
      </c>
      <c r="F40" s="9" t="s">
        <v>15</v>
      </c>
      <c r="G40" s="11">
        <v>1</v>
      </c>
      <c r="J40" s="7">
        <v>2.64</v>
      </c>
      <c r="K40" s="11">
        <f t="shared" si="5"/>
        <v>2026</v>
      </c>
      <c r="L40" s="11" t="s">
        <v>16</v>
      </c>
      <c r="M40" s="11" t="s">
        <v>17</v>
      </c>
    </row>
    <row r="41" spans="1:13" x14ac:dyDescent="0.25">
      <c r="A41" s="6">
        <v>46119.833333333336</v>
      </c>
      <c r="B41" s="11">
        <f t="shared" si="6"/>
        <v>4</v>
      </c>
      <c r="C41" s="11">
        <f t="shared" si="7"/>
        <v>15</v>
      </c>
      <c r="D41" s="5" t="s">
        <v>19</v>
      </c>
      <c r="E41" s="11" t="s">
        <v>14</v>
      </c>
      <c r="F41" s="9" t="s">
        <v>15</v>
      </c>
      <c r="G41" s="11">
        <v>1</v>
      </c>
      <c r="J41" s="7">
        <v>2.64</v>
      </c>
      <c r="K41" s="11">
        <f t="shared" si="5"/>
        <v>2026</v>
      </c>
      <c r="L41" s="11" t="s">
        <v>16</v>
      </c>
      <c r="M41" s="11" t="s">
        <v>17</v>
      </c>
    </row>
    <row r="42" spans="1:13" x14ac:dyDescent="0.25">
      <c r="A42" s="6">
        <v>46118.583333333336</v>
      </c>
      <c r="B42" s="11">
        <f t="shared" si="6"/>
        <v>4</v>
      </c>
      <c r="C42" s="11">
        <f t="shared" si="7"/>
        <v>15</v>
      </c>
      <c r="D42" s="5" t="s">
        <v>13</v>
      </c>
      <c r="E42" s="11" t="s">
        <v>14</v>
      </c>
      <c r="F42" s="9" t="s">
        <v>15</v>
      </c>
      <c r="G42" s="11">
        <v>1</v>
      </c>
      <c r="J42" s="7">
        <v>2.7629999999999999</v>
      </c>
      <c r="K42" s="11">
        <f t="shared" si="5"/>
        <v>2026</v>
      </c>
      <c r="L42" s="11" t="s">
        <v>16</v>
      </c>
      <c r="M42" s="11" t="s">
        <v>17</v>
      </c>
    </row>
    <row r="43" spans="1:13" x14ac:dyDescent="0.25">
      <c r="A43" s="6">
        <v>46118.583333333336</v>
      </c>
      <c r="B43" s="11">
        <f t="shared" si="6"/>
        <v>4</v>
      </c>
      <c r="C43" s="11">
        <f t="shared" si="7"/>
        <v>15</v>
      </c>
      <c r="D43" s="5" t="s">
        <v>13</v>
      </c>
      <c r="E43" s="11" t="s">
        <v>14</v>
      </c>
      <c r="F43" s="9" t="s">
        <v>15</v>
      </c>
      <c r="G43" s="11">
        <v>1</v>
      </c>
      <c r="J43" s="7">
        <v>4.8000000000000001E-2</v>
      </c>
      <c r="K43" s="11">
        <f t="shared" si="5"/>
        <v>2026</v>
      </c>
      <c r="L43" s="11" t="s">
        <v>16</v>
      </c>
      <c r="M43" s="11" t="s">
        <v>17</v>
      </c>
    </row>
    <row r="44" spans="1:13" x14ac:dyDescent="0.25">
      <c r="A44" s="6">
        <v>46118.583333333336</v>
      </c>
      <c r="B44" s="11">
        <f t="shared" si="6"/>
        <v>4</v>
      </c>
      <c r="C44" s="11">
        <f t="shared" si="7"/>
        <v>15</v>
      </c>
      <c r="D44" s="5" t="s">
        <v>13</v>
      </c>
      <c r="E44" s="11" t="s">
        <v>14</v>
      </c>
      <c r="F44" s="9" t="s">
        <v>15</v>
      </c>
      <c r="G44" s="11">
        <v>1</v>
      </c>
      <c r="J44" s="7">
        <v>3.3879999999999999</v>
      </c>
      <c r="K44" s="11">
        <f t="shared" si="5"/>
        <v>2026</v>
      </c>
      <c r="L44" s="11" t="s">
        <v>16</v>
      </c>
      <c r="M44" s="11" t="s">
        <v>17</v>
      </c>
    </row>
    <row r="45" spans="1:13" x14ac:dyDescent="0.25">
      <c r="A45" s="6">
        <v>46122.625</v>
      </c>
      <c r="B45" s="11">
        <f t="shared" si="6"/>
        <v>4</v>
      </c>
      <c r="C45" s="11">
        <f t="shared" si="7"/>
        <v>15</v>
      </c>
      <c r="D45" s="5" t="s">
        <v>13</v>
      </c>
      <c r="E45" s="11" t="s">
        <v>14</v>
      </c>
      <c r="F45" s="9" t="s">
        <v>22</v>
      </c>
      <c r="G45" s="11">
        <v>1</v>
      </c>
      <c r="J45" s="7">
        <v>1.4590000000000001</v>
      </c>
      <c r="K45" s="11">
        <f t="shared" si="5"/>
        <v>2026</v>
      </c>
      <c r="L45" s="11" t="s">
        <v>16</v>
      </c>
      <c r="M45" s="11" t="s">
        <v>17</v>
      </c>
    </row>
    <row r="46" spans="1:13" x14ac:dyDescent="0.25">
      <c r="A46" s="6">
        <v>46118.583333333336</v>
      </c>
      <c r="B46" s="11">
        <f t="shared" si="6"/>
        <v>4</v>
      </c>
      <c r="C46" s="11">
        <f t="shared" si="7"/>
        <v>15</v>
      </c>
      <c r="D46" s="5" t="s">
        <v>13</v>
      </c>
      <c r="E46" s="11" t="s">
        <v>14</v>
      </c>
      <c r="F46" s="9" t="s">
        <v>15</v>
      </c>
      <c r="G46" s="11">
        <v>1</v>
      </c>
      <c r="J46" s="7">
        <v>5.9160000000000004</v>
      </c>
      <c r="K46" s="11">
        <f t="shared" si="5"/>
        <v>2026</v>
      </c>
      <c r="L46" s="11" t="s">
        <v>16</v>
      </c>
      <c r="M46" s="11" t="s">
        <v>17</v>
      </c>
    </row>
    <row r="47" spans="1:13" x14ac:dyDescent="0.25">
      <c r="A47" s="6">
        <v>46122.625</v>
      </c>
      <c r="B47" s="11">
        <f t="shared" si="6"/>
        <v>4</v>
      </c>
      <c r="C47" s="11">
        <f t="shared" si="7"/>
        <v>15</v>
      </c>
      <c r="D47" s="5" t="s">
        <v>13</v>
      </c>
      <c r="E47" s="11" t="s">
        <v>14</v>
      </c>
      <c r="F47" s="9" t="s">
        <v>22</v>
      </c>
      <c r="G47" s="11">
        <v>1</v>
      </c>
      <c r="J47" s="7">
        <v>2.3340000000000001</v>
      </c>
      <c r="K47" s="11">
        <f t="shared" si="5"/>
        <v>2026</v>
      </c>
      <c r="L47" s="11" t="s">
        <v>16</v>
      </c>
      <c r="M47" s="11" t="s">
        <v>17</v>
      </c>
    </row>
    <row r="48" spans="1:13" x14ac:dyDescent="0.25">
      <c r="A48" s="6">
        <v>46122.625</v>
      </c>
      <c r="B48" s="11">
        <f t="shared" si="6"/>
        <v>4</v>
      </c>
      <c r="C48" s="11">
        <f t="shared" si="7"/>
        <v>15</v>
      </c>
      <c r="D48" s="5" t="s">
        <v>13</v>
      </c>
      <c r="E48" s="11" t="s">
        <v>14</v>
      </c>
      <c r="F48" s="9" t="s">
        <v>22</v>
      </c>
      <c r="G48" s="11">
        <v>1</v>
      </c>
      <c r="J48" s="7">
        <v>0.56100000000000005</v>
      </c>
      <c r="K48" s="11">
        <f t="shared" si="5"/>
        <v>2026</v>
      </c>
      <c r="L48" s="11" t="s">
        <v>16</v>
      </c>
      <c r="M48" s="11" t="s">
        <v>17</v>
      </c>
    </row>
    <row r="49" spans="1:13" x14ac:dyDescent="0.25">
      <c r="A49" s="6">
        <v>46122.625</v>
      </c>
      <c r="B49" s="11">
        <f t="shared" si="6"/>
        <v>4</v>
      </c>
      <c r="C49" s="11">
        <f t="shared" si="7"/>
        <v>15</v>
      </c>
      <c r="D49" s="5" t="s">
        <v>13</v>
      </c>
      <c r="E49" s="11" t="s">
        <v>14</v>
      </c>
      <c r="F49" s="9" t="s">
        <v>22</v>
      </c>
      <c r="G49" s="11">
        <v>1</v>
      </c>
      <c r="J49" s="7">
        <v>0.57399999999999995</v>
      </c>
      <c r="K49" s="11">
        <f t="shared" si="5"/>
        <v>2026</v>
      </c>
      <c r="L49" s="11" t="s">
        <v>16</v>
      </c>
      <c r="M49" s="11" t="s">
        <v>17</v>
      </c>
    </row>
    <row r="50" spans="1:13" x14ac:dyDescent="0.25">
      <c r="A50" s="6">
        <v>46119.833333333336</v>
      </c>
      <c r="B50" s="11">
        <f t="shared" si="6"/>
        <v>4</v>
      </c>
      <c r="C50" s="11">
        <f t="shared" si="7"/>
        <v>15</v>
      </c>
      <c r="D50" s="5" t="s">
        <v>13</v>
      </c>
      <c r="E50" s="11" t="s">
        <v>14</v>
      </c>
      <c r="F50" s="9" t="s">
        <v>22</v>
      </c>
      <c r="G50" s="11">
        <v>1</v>
      </c>
      <c r="J50" s="7">
        <v>5.3280000000000003</v>
      </c>
      <c r="K50" s="11">
        <f t="shared" si="5"/>
        <v>2026</v>
      </c>
      <c r="L50" s="11" t="s">
        <v>16</v>
      </c>
      <c r="M50" s="11" t="s">
        <v>17</v>
      </c>
    </row>
    <row r="51" spans="1:13" x14ac:dyDescent="0.25">
      <c r="A51" s="6">
        <v>46122.625</v>
      </c>
      <c r="B51" s="11">
        <f t="shared" si="6"/>
        <v>4</v>
      </c>
      <c r="C51" s="11">
        <f t="shared" si="7"/>
        <v>15</v>
      </c>
      <c r="D51" s="5" t="s">
        <v>13</v>
      </c>
      <c r="E51" s="11" t="s">
        <v>14</v>
      </c>
      <c r="F51" s="9" t="s">
        <v>22</v>
      </c>
      <c r="G51" s="11">
        <v>1</v>
      </c>
      <c r="J51" s="7">
        <v>0.65200000000000002</v>
      </c>
      <c r="K51" s="11">
        <f t="shared" si="5"/>
        <v>2026</v>
      </c>
      <c r="L51" s="11" t="s">
        <v>16</v>
      </c>
      <c r="M51" s="11" t="s">
        <v>17</v>
      </c>
    </row>
    <row r="52" spans="1:13" x14ac:dyDescent="0.25">
      <c r="A52" s="6">
        <v>46122.625</v>
      </c>
      <c r="B52" s="11">
        <f t="shared" si="6"/>
        <v>4</v>
      </c>
      <c r="C52" s="11">
        <f t="shared" si="7"/>
        <v>15</v>
      </c>
      <c r="D52" s="5" t="s">
        <v>13</v>
      </c>
      <c r="E52" s="11" t="s">
        <v>14</v>
      </c>
      <c r="F52" s="9" t="s">
        <v>22</v>
      </c>
      <c r="G52" s="11">
        <v>1</v>
      </c>
      <c r="J52" s="7">
        <v>1.167</v>
      </c>
      <c r="K52" s="11">
        <f t="shared" si="5"/>
        <v>2026</v>
      </c>
      <c r="L52" s="11" t="s">
        <v>16</v>
      </c>
      <c r="M52" s="11" t="s">
        <v>17</v>
      </c>
    </row>
    <row r="53" spans="1:13" x14ac:dyDescent="0.25">
      <c r="A53" s="6">
        <v>46123.793749999997</v>
      </c>
      <c r="B53" s="11">
        <f t="shared" si="6"/>
        <v>4</v>
      </c>
      <c r="C53" s="11">
        <f t="shared" si="7"/>
        <v>15</v>
      </c>
      <c r="D53" s="5" t="s">
        <v>13</v>
      </c>
      <c r="E53" s="11" t="s">
        <v>14</v>
      </c>
      <c r="F53" s="9" t="s">
        <v>22</v>
      </c>
      <c r="G53" s="11">
        <v>1</v>
      </c>
      <c r="J53" s="7">
        <v>3.5009999999999999</v>
      </c>
      <c r="K53" s="11">
        <f t="shared" si="5"/>
        <v>2026</v>
      </c>
      <c r="L53" s="11" t="s">
        <v>16</v>
      </c>
      <c r="M53" s="11" t="s">
        <v>17</v>
      </c>
    </row>
    <row r="54" spans="1:13" x14ac:dyDescent="0.25">
      <c r="A54" s="6">
        <v>46121.131944444445</v>
      </c>
      <c r="B54" s="11">
        <f t="shared" si="6"/>
        <v>4</v>
      </c>
      <c r="C54" s="11">
        <f t="shared" si="7"/>
        <v>15</v>
      </c>
      <c r="D54" s="5" t="s">
        <v>23</v>
      </c>
      <c r="E54" s="11" t="s">
        <v>14</v>
      </c>
      <c r="F54" s="9" t="s">
        <v>22</v>
      </c>
      <c r="G54" s="11">
        <v>1</v>
      </c>
      <c r="J54" s="7">
        <v>6.6840000000000002</v>
      </c>
      <c r="K54" s="11">
        <f t="shared" si="5"/>
        <v>2026</v>
      </c>
      <c r="L54" s="11" t="s">
        <v>16</v>
      </c>
      <c r="M54" s="11" t="s">
        <v>17</v>
      </c>
    </row>
    <row r="55" spans="1:13" x14ac:dyDescent="0.25">
      <c r="A55" s="6">
        <v>46121.131944444445</v>
      </c>
      <c r="B55" s="11">
        <f t="shared" si="6"/>
        <v>4</v>
      </c>
      <c r="C55" s="11">
        <f t="shared" si="7"/>
        <v>15</v>
      </c>
      <c r="D55" s="5" t="s">
        <v>23</v>
      </c>
      <c r="E55" s="11" t="s">
        <v>14</v>
      </c>
      <c r="F55" s="9" t="s">
        <v>22</v>
      </c>
      <c r="G55" s="11">
        <v>1</v>
      </c>
      <c r="J55" s="7">
        <v>3.95</v>
      </c>
      <c r="K55" s="11">
        <f t="shared" si="5"/>
        <v>2026</v>
      </c>
      <c r="L55" s="11" t="s">
        <v>16</v>
      </c>
      <c r="M55" s="11" t="s">
        <v>17</v>
      </c>
    </row>
    <row r="56" spans="1:13" x14ac:dyDescent="0.25">
      <c r="A56" s="6">
        <v>46118.583333333336</v>
      </c>
      <c r="B56" s="11">
        <f t="shared" si="6"/>
        <v>4</v>
      </c>
      <c r="C56" s="11">
        <f t="shared" si="7"/>
        <v>15</v>
      </c>
      <c r="D56" s="5" t="s">
        <v>21</v>
      </c>
      <c r="E56" s="11" t="s">
        <v>14</v>
      </c>
      <c r="F56" s="9" t="s">
        <v>15</v>
      </c>
      <c r="G56" s="11">
        <v>1</v>
      </c>
      <c r="J56" s="7">
        <v>4.24</v>
      </c>
      <c r="K56" s="11">
        <f t="shared" si="5"/>
        <v>2026</v>
      </c>
      <c r="L56" s="11" t="s">
        <v>16</v>
      </c>
      <c r="M56" s="11" t="s">
        <v>17</v>
      </c>
    </row>
    <row r="57" spans="1:13" x14ac:dyDescent="0.25">
      <c r="A57" s="6">
        <v>46122.625</v>
      </c>
      <c r="B57" s="11">
        <f t="shared" si="6"/>
        <v>4</v>
      </c>
      <c r="C57" s="11">
        <f t="shared" si="7"/>
        <v>15</v>
      </c>
      <c r="D57" s="5" t="s">
        <v>21</v>
      </c>
      <c r="E57" s="11" t="s">
        <v>14</v>
      </c>
      <c r="F57" s="9" t="s">
        <v>22</v>
      </c>
      <c r="G57" s="11">
        <v>1</v>
      </c>
      <c r="J57" s="7">
        <v>2.77</v>
      </c>
      <c r="K57" s="11">
        <f t="shared" si="5"/>
        <v>2026</v>
      </c>
      <c r="L57" s="11" t="s">
        <v>16</v>
      </c>
      <c r="M57" s="11" t="s">
        <v>17</v>
      </c>
    </row>
    <row r="58" spans="1:13" x14ac:dyDescent="0.25">
      <c r="A58" s="6">
        <v>46121.131944444445</v>
      </c>
      <c r="B58" s="11">
        <f t="shared" si="6"/>
        <v>4</v>
      </c>
      <c r="C58" s="11">
        <f t="shared" si="7"/>
        <v>15</v>
      </c>
      <c r="D58" s="5" t="s">
        <v>21</v>
      </c>
      <c r="E58" s="11" t="s">
        <v>14</v>
      </c>
      <c r="F58" s="9" t="s">
        <v>22</v>
      </c>
      <c r="G58" s="11">
        <v>1</v>
      </c>
      <c r="J58" s="7">
        <v>6.2</v>
      </c>
      <c r="K58" s="11">
        <f t="shared" si="5"/>
        <v>2026</v>
      </c>
      <c r="L58" s="11" t="s">
        <v>16</v>
      </c>
      <c r="M58" s="11" t="s">
        <v>17</v>
      </c>
    </row>
    <row r="59" spans="1:13" x14ac:dyDescent="0.25">
      <c r="A59" s="6">
        <v>46118.756944444445</v>
      </c>
      <c r="B59" s="11">
        <f t="shared" si="6"/>
        <v>4</v>
      </c>
      <c r="C59" s="11">
        <f t="shared" si="7"/>
        <v>15</v>
      </c>
      <c r="D59" s="5" t="s">
        <v>21</v>
      </c>
      <c r="E59" s="11" t="s">
        <v>14</v>
      </c>
      <c r="F59" s="9" t="s">
        <v>22</v>
      </c>
      <c r="G59" s="11">
        <v>1</v>
      </c>
      <c r="J59" s="7">
        <v>1.891</v>
      </c>
      <c r="K59" s="11">
        <f t="shared" si="5"/>
        <v>2026</v>
      </c>
      <c r="L59" s="11" t="s">
        <v>16</v>
      </c>
      <c r="M59" s="11" t="s">
        <v>17</v>
      </c>
    </row>
    <row r="60" spans="1:13" x14ac:dyDescent="0.25">
      <c r="A60" s="6">
        <v>46117</v>
      </c>
      <c r="B60" s="11">
        <f t="shared" si="6"/>
        <v>4</v>
      </c>
      <c r="C60" s="11">
        <f t="shared" si="7"/>
        <v>15</v>
      </c>
      <c r="D60" s="5" t="s">
        <v>21</v>
      </c>
      <c r="E60" s="11" t="s">
        <v>14</v>
      </c>
      <c r="F60" s="9" t="s">
        <v>22</v>
      </c>
      <c r="G60" s="11">
        <v>1</v>
      </c>
      <c r="J60" s="7">
        <v>0.3</v>
      </c>
      <c r="K60" s="11">
        <f t="shared" si="5"/>
        <v>2026</v>
      </c>
      <c r="L60" s="11" t="s">
        <v>16</v>
      </c>
      <c r="M60" s="11" t="s">
        <v>17</v>
      </c>
    </row>
    <row r="61" spans="1:13" x14ac:dyDescent="0.25">
      <c r="A61" s="6">
        <v>46122</v>
      </c>
      <c r="B61" s="11">
        <f t="shared" si="6"/>
        <v>4</v>
      </c>
      <c r="C61" s="11">
        <f t="shared" si="7"/>
        <v>15</v>
      </c>
      <c r="D61" s="5" t="s">
        <v>21</v>
      </c>
      <c r="E61" s="11" t="s">
        <v>14</v>
      </c>
      <c r="F61" s="9" t="s">
        <v>22</v>
      </c>
      <c r="G61" s="11">
        <v>1</v>
      </c>
      <c r="J61" s="7">
        <v>0.44600000000000001</v>
      </c>
      <c r="K61" s="11">
        <f t="shared" si="5"/>
        <v>2026</v>
      </c>
      <c r="L61" s="11" t="s">
        <v>16</v>
      </c>
      <c r="M61" s="11" t="s">
        <v>17</v>
      </c>
    </row>
    <row r="62" spans="1:13" x14ac:dyDescent="0.25">
      <c r="A62" s="6">
        <v>46118.756944444445</v>
      </c>
      <c r="B62" s="11">
        <f t="shared" si="6"/>
        <v>4</v>
      </c>
      <c r="C62" s="11">
        <f t="shared" si="7"/>
        <v>15</v>
      </c>
      <c r="D62" s="5" t="s">
        <v>21</v>
      </c>
      <c r="E62" s="11" t="s">
        <v>14</v>
      </c>
      <c r="F62" s="9" t="s">
        <v>22</v>
      </c>
      <c r="G62" s="11">
        <v>1</v>
      </c>
      <c r="J62" s="7">
        <v>2.379</v>
      </c>
      <c r="K62" s="11">
        <f t="shared" si="5"/>
        <v>2026</v>
      </c>
      <c r="L62" s="11" t="s">
        <v>16</v>
      </c>
      <c r="M62" s="11" t="s">
        <v>17</v>
      </c>
    </row>
    <row r="63" spans="1:13" x14ac:dyDescent="0.25">
      <c r="A63" s="6">
        <v>46122</v>
      </c>
      <c r="B63" s="11">
        <f t="shared" si="6"/>
        <v>4</v>
      </c>
      <c r="C63" s="11">
        <f t="shared" si="7"/>
        <v>15</v>
      </c>
      <c r="D63" s="5" t="s">
        <v>21</v>
      </c>
      <c r="E63" s="11" t="s">
        <v>14</v>
      </c>
      <c r="F63" s="9" t="s">
        <v>22</v>
      </c>
      <c r="G63" s="11">
        <v>1</v>
      </c>
      <c r="J63" s="7">
        <v>0.98</v>
      </c>
      <c r="K63" s="11">
        <f t="shared" si="5"/>
        <v>2026</v>
      </c>
      <c r="L63" s="11" t="s">
        <v>16</v>
      </c>
      <c r="M63" s="11" t="s">
        <v>17</v>
      </c>
    </row>
    <row r="64" spans="1:13" x14ac:dyDescent="0.25">
      <c r="A64" s="6">
        <v>46122</v>
      </c>
      <c r="B64" s="11">
        <f t="shared" si="6"/>
        <v>4</v>
      </c>
      <c r="C64" s="11">
        <f t="shared" si="7"/>
        <v>15</v>
      </c>
      <c r="D64" s="5" t="s">
        <v>21</v>
      </c>
      <c r="E64" s="11" t="s">
        <v>14</v>
      </c>
      <c r="F64" s="9" t="s">
        <v>22</v>
      </c>
      <c r="G64" s="11">
        <v>1</v>
      </c>
      <c r="J64" s="7">
        <v>14.802</v>
      </c>
      <c r="K64" s="11">
        <f t="shared" si="5"/>
        <v>2026</v>
      </c>
      <c r="L64" s="11" t="s">
        <v>16</v>
      </c>
      <c r="M64" s="11" t="s">
        <v>17</v>
      </c>
    </row>
    <row r="65" spans="1:13" x14ac:dyDescent="0.25">
      <c r="A65" s="6">
        <v>46119.166666666664</v>
      </c>
      <c r="B65" s="11">
        <f t="shared" si="6"/>
        <v>4</v>
      </c>
      <c r="C65" s="11">
        <f t="shared" si="7"/>
        <v>15</v>
      </c>
      <c r="D65" s="5" t="s">
        <v>21</v>
      </c>
      <c r="E65" s="11" t="s">
        <v>14</v>
      </c>
      <c r="F65" s="9" t="s">
        <v>22</v>
      </c>
      <c r="G65" s="11">
        <v>1</v>
      </c>
      <c r="J65" s="7">
        <v>0.13700000000000001</v>
      </c>
      <c r="K65" s="11">
        <f t="shared" si="5"/>
        <v>2026</v>
      </c>
      <c r="L65" s="11" t="s">
        <v>16</v>
      </c>
      <c r="M65" s="11" t="s">
        <v>17</v>
      </c>
    </row>
    <row r="66" spans="1:13" x14ac:dyDescent="0.25">
      <c r="A66" s="6">
        <v>46122.625</v>
      </c>
      <c r="B66" s="11">
        <f t="shared" si="6"/>
        <v>4</v>
      </c>
      <c r="C66" s="11">
        <f t="shared" si="7"/>
        <v>15</v>
      </c>
      <c r="D66" s="5" t="s">
        <v>21</v>
      </c>
      <c r="E66" s="11" t="s">
        <v>14</v>
      </c>
      <c r="F66" s="9" t="s">
        <v>22</v>
      </c>
      <c r="G66" s="11">
        <v>1</v>
      </c>
      <c r="J66" s="7">
        <v>1.8</v>
      </c>
      <c r="K66" s="11">
        <f t="shared" si="5"/>
        <v>2026</v>
      </c>
      <c r="L66" s="11" t="s">
        <v>16</v>
      </c>
      <c r="M66" s="11" t="s">
        <v>17</v>
      </c>
    </row>
    <row r="67" spans="1:13" x14ac:dyDescent="0.25">
      <c r="A67" s="6">
        <v>46118.583333333336</v>
      </c>
      <c r="B67" s="11">
        <f t="shared" si="6"/>
        <v>4</v>
      </c>
      <c r="C67" s="11">
        <f t="shared" si="7"/>
        <v>15</v>
      </c>
      <c r="D67" s="5" t="s">
        <v>20</v>
      </c>
      <c r="E67" s="11" t="s">
        <v>14</v>
      </c>
      <c r="F67" s="9" t="s">
        <v>15</v>
      </c>
      <c r="G67" s="11">
        <v>1</v>
      </c>
      <c r="J67" s="7">
        <v>3.4660000000000002</v>
      </c>
      <c r="K67" s="11">
        <f t="shared" ref="K67:K78" si="8">YEAR(A67)</f>
        <v>2026</v>
      </c>
      <c r="L67" s="11" t="s">
        <v>16</v>
      </c>
      <c r="M67" s="11" t="s">
        <v>17</v>
      </c>
    </row>
    <row r="68" spans="1:13" x14ac:dyDescent="0.25">
      <c r="A68" s="6">
        <v>46119.833333333336</v>
      </c>
      <c r="B68" s="11">
        <f t="shared" ref="B68:B78" si="9">MONTH(A68)</f>
        <v>4</v>
      </c>
      <c r="C68" s="11">
        <f t="shared" ref="C68:C78" si="10">WEEKNUM(A68)</f>
        <v>15</v>
      </c>
      <c r="D68" s="5" t="s">
        <v>13</v>
      </c>
      <c r="E68" s="11" t="s">
        <v>14</v>
      </c>
      <c r="F68" s="9" t="s">
        <v>15</v>
      </c>
      <c r="G68" s="11">
        <v>1</v>
      </c>
      <c r="J68" s="7">
        <v>0.96</v>
      </c>
      <c r="K68" s="11">
        <f t="shared" si="8"/>
        <v>2026</v>
      </c>
      <c r="L68" s="11" t="s">
        <v>16</v>
      </c>
      <c r="M68" s="11" t="s">
        <v>17</v>
      </c>
    </row>
    <row r="69" spans="1:13" x14ac:dyDescent="0.25">
      <c r="A69" s="6">
        <v>46119</v>
      </c>
      <c r="B69" s="11">
        <f t="shared" si="9"/>
        <v>4</v>
      </c>
      <c r="C69" s="11">
        <f t="shared" si="10"/>
        <v>15</v>
      </c>
      <c r="D69" s="5" t="s">
        <v>13</v>
      </c>
      <c r="E69" s="11" t="s">
        <v>14</v>
      </c>
      <c r="F69" s="9" t="s">
        <v>22</v>
      </c>
      <c r="G69" s="11">
        <v>1</v>
      </c>
      <c r="J69" s="7">
        <v>7.49</v>
      </c>
      <c r="K69" s="11">
        <f t="shared" si="8"/>
        <v>2026</v>
      </c>
      <c r="L69" s="11" t="s">
        <v>16</v>
      </c>
      <c r="M69" s="11" t="s">
        <v>17</v>
      </c>
    </row>
    <row r="70" spans="1:13" x14ac:dyDescent="0.25">
      <c r="A70" s="6">
        <v>46118.756944444445</v>
      </c>
      <c r="B70" s="11">
        <f t="shared" si="9"/>
        <v>4</v>
      </c>
      <c r="C70" s="11">
        <f t="shared" si="10"/>
        <v>15</v>
      </c>
      <c r="D70" s="5" t="s">
        <v>13</v>
      </c>
      <c r="E70" s="11" t="s">
        <v>14</v>
      </c>
      <c r="F70" s="9" t="s">
        <v>22</v>
      </c>
      <c r="G70" s="11">
        <v>1</v>
      </c>
      <c r="J70" s="7">
        <v>4.05</v>
      </c>
      <c r="K70" s="11">
        <f t="shared" si="8"/>
        <v>2026</v>
      </c>
      <c r="L70" s="11" t="s">
        <v>16</v>
      </c>
      <c r="M70" s="11" t="s">
        <v>17</v>
      </c>
    </row>
    <row r="71" spans="1:13" x14ac:dyDescent="0.25">
      <c r="A71" s="6">
        <v>46119.833333333336</v>
      </c>
      <c r="B71" s="11">
        <f t="shared" si="9"/>
        <v>4</v>
      </c>
      <c r="C71" s="11">
        <f t="shared" si="10"/>
        <v>15</v>
      </c>
      <c r="D71" s="5" t="s">
        <v>13</v>
      </c>
      <c r="E71" s="11" t="s">
        <v>14</v>
      </c>
      <c r="F71" s="9" t="s">
        <v>15</v>
      </c>
      <c r="G71" s="11">
        <v>1</v>
      </c>
      <c r="J71" s="7">
        <v>7.9349999999999996</v>
      </c>
      <c r="K71" s="11">
        <f t="shared" si="8"/>
        <v>2026</v>
      </c>
      <c r="L71" s="11" t="s">
        <v>16</v>
      </c>
      <c r="M71" s="11" t="s">
        <v>17</v>
      </c>
    </row>
    <row r="72" spans="1:13" x14ac:dyDescent="0.25">
      <c r="A72" s="6">
        <v>46119.208333333336</v>
      </c>
      <c r="B72" s="11">
        <f t="shared" si="9"/>
        <v>4</v>
      </c>
      <c r="C72" s="11">
        <f t="shared" si="10"/>
        <v>15</v>
      </c>
      <c r="D72" s="5" t="s">
        <v>13</v>
      </c>
      <c r="E72" s="11" t="s">
        <v>14</v>
      </c>
      <c r="F72" s="9" t="s">
        <v>15</v>
      </c>
      <c r="G72" s="11">
        <v>1</v>
      </c>
      <c r="J72" s="7">
        <v>1.99</v>
      </c>
      <c r="K72" s="11">
        <f t="shared" si="8"/>
        <v>2026</v>
      </c>
      <c r="L72" s="11" t="s">
        <v>16</v>
      </c>
      <c r="M72" s="11" t="s">
        <v>17</v>
      </c>
    </row>
    <row r="73" spans="1:13" x14ac:dyDescent="0.25">
      <c r="A73" s="6">
        <v>46117</v>
      </c>
      <c r="B73" s="11">
        <f t="shared" si="9"/>
        <v>4</v>
      </c>
      <c r="C73" s="11">
        <f t="shared" si="10"/>
        <v>15</v>
      </c>
      <c r="D73" s="5" t="s">
        <v>13</v>
      </c>
      <c r="E73" s="11" t="s">
        <v>14</v>
      </c>
      <c r="F73" s="9" t="s">
        <v>22</v>
      </c>
      <c r="G73" s="11">
        <v>1</v>
      </c>
      <c r="J73" s="7">
        <v>0.55300000000000005</v>
      </c>
      <c r="K73" s="11">
        <f t="shared" si="8"/>
        <v>2026</v>
      </c>
      <c r="L73" s="11" t="s">
        <v>16</v>
      </c>
      <c r="M73" s="11" t="s">
        <v>17</v>
      </c>
    </row>
    <row r="74" spans="1:13" x14ac:dyDescent="0.25">
      <c r="A74" s="6">
        <v>46119.208333333336</v>
      </c>
      <c r="B74" s="11">
        <f t="shared" si="9"/>
        <v>4</v>
      </c>
      <c r="C74" s="11">
        <f t="shared" si="10"/>
        <v>15</v>
      </c>
      <c r="D74" s="5" t="s">
        <v>13</v>
      </c>
      <c r="E74" s="11" t="s">
        <v>14</v>
      </c>
      <c r="F74" s="9" t="s">
        <v>15</v>
      </c>
      <c r="G74" s="11">
        <v>1</v>
      </c>
      <c r="J74" s="7">
        <v>2.532</v>
      </c>
      <c r="K74" s="11">
        <f t="shared" si="8"/>
        <v>2026</v>
      </c>
      <c r="L74" s="11" t="s">
        <v>16</v>
      </c>
      <c r="M74" s="11" t="s">
        <v>17</v>
      </c>
    </row>
    <row r="75" spans="1:13" x14ac:dyDescent="0.25">
      <c r="A75" s="6">
        <v>46119.208333333336</v>
      </c>
      <c r="B75" s="11">
        <f t="shared" si="9"/>
        <v>4</v>
      </c>
      <c r="C75" s="11">
        <f t="shared" si="10"/>
        <v>15</v>
      </c>
      <c r="D75" s="5" t="s">
        <v>13</v>
      </c>
      <c r="E75" s="11" t="s">
        <v>14</v>
      </c>
      <c r="F75" s="9" t="s">
        <v>15</v>
      </c>
      <c r="G75" s="11">
        <v>1</v>
      </c>
      <c r="J75" s="7">
        <v>17.64</v>
      </c>
      <c r="K75" s="11">
        <f t="shared" si="8"/>
        <v>2026</v>
      </c>
      <c r="L75" s="11" t="s">
        <v>16</v>
      </c>
      <c r="M75" s="11" t="s">
        <v>17</v>
      </c>
    </row>
    <row r="76" spans="1:13" x14ac:dyDescent="0.25">
      <c r="A76" s="6">
        <v>46119.208333333336</v>
      </c>
      <c r="B76" s="11">
        <f t="shared" si="9"/>
        <v>4</v>
      </c>
      <c r="C76" s="11">
        <f t="shared" si="10"/>
        <v>15</v>
      </c>
      <c r="D76" s="5" t="s">
        <v>13</v>
      </c>
      <c r="E76" s="11" t="s">
        <v>14</v>
      </c>
      <c r="F76" s="9" t="s">
        <v>15</v>
      </c>
      <c r="G76" s="11">
        <v>1</v>
      </c>
      <c r="J76" s="7">
        <v>10.23</v>
      </c>
      <c r="K76" s="11">
        <f t="shared" si="8"/>
        <v>2026</v>
      </c>
      <c r="L76" s="11" t="s">
        <v>16</v>
      </c>
      <c r="M76" s="11" t="s">
        <v>17</v>
      </c>
    </row>
    <row r="77" spans="1:13" x14ac:dyDescent="0.25">
      <c r="A77" s="6">
        <v>46123.291666666664</v>
      </c>
      <c r="B77" s="11">
        <f t="shared" si="9"/>
        <v>4</v>
      </c>
      <c r="C77" s="11">
        <f t="shared" si="10"/>
        <v>15</v>
      </c>
      <c r="D77" s="5" t="s">
        <v>13</v>
      </c>
      <c r="E77" s="11" t="s">
        <v>14</v>
      </c>
      <c r="F77" s="9" t="s">
        <v>22</v>
      </c>
      <c r="G77" s="11">
        <v>1</v>
      </c>
      <c r="J77" s="7">
        <v>1.3819999999999999</v>
      </c>
      <c r="K77" s="11">
        <f t="shared" si="8"/>
        <v>2026</v>
      </c>
      <c r="L77" s="11" t="s">
        <v>16</v>
      </c>
      <c r="M77" s="11" t="s">
        <v>17</v>
      </c>
    </row>
    <row r="78" spans="1:13" x14ac:dyDescent="0.25">
      <c r="A78" s="6">
        <v>46119.208333333336</v>
      </c>
      <c r="B78" s="11">
        <f t="shared" si="9"/>
        <v>4</v>
      </c>
      <c r="C78" s="11">
        <f t="shared" si="10"/>
        <v>15</v>
      </c>
      <c r="D78" s="5" t="s">
        <v>13</v>
      </c>
      <c r="E78" s="11" t="s">
        <v>14</v>
      </c>
      <c r="F78" s="9" t="s">
        <v>15</v>
      </c>
      <c r="G78" s="11">
        <v>1</v>
      </c>
      <c r="J78" s="7">
        <v>12.79</v>
      </c>
      <c r="K78" s="11">
        <f t="shared" si="8"/>
        <v>2026</v>
      </c>
      <c r="L78" s="11" t="s">
        <v>16</v>
      </c>
      <c r="M78" s="11" t="s">
        <v>17</v>
      </c>
    </row>
    <row r="79" spans="1:13" x14ac:dyDescent="0.25">
      <c r="A79" s="6">
        <v>46120.916666666664</v>
      </c>
      <c r="B79" s="11">
        <f t="shared" ref="B79:B142" si="11">MONTH(A79)</f>
        <v>4</v>
      </c>
      <c r="C79" s="11">
        <f t="shared" ref="C79:C142" si="12">WEEKNUM(A79)</f>
        <v>15</v>
      </c>
      <c r="D79" s="5" t="s">
        <v>18</v>
      </c>
      <c r="E79" s="11" t="s">
        <v>14</v>
      </c>
      <c r="F79" s="9" t="s">
        <v>15</v>
      </c>
      <c r="G79" s="11">
        <v>1</v>
      </c>
      <c r="J79" s="7">
        <v>1.5860000000000001</v>
      </c>
      <c r="K79" s="11">
        <f t="shared" ref="K79" si="13">YEAR(A79)</f>
        <v>2026</v>
      </c>
      <c r="L79" s="11" t="s">
        <v>25</v>
      </c>
      <c r="M79" s="11" t="s">
        <v>17</v>
      </c>
    </row>
    <row r="80" spans="1:13" x14ac:dyDescent="0.25">
      <c r="A80" s="6">
        <v>46120.916666666664</v>
      </c>
      <c r="B80" s="11">
        <f t="shared" si="11"/>
        <v>4</v>
      </c>
      <c r="C80" s="11">
        <f t="shared" si="12"/>
        <v>15</v>
      </c>
      <c r="D80" s="5" t="s">
        <v>18</v>
      </c>
      <c r="E80" s="11" t="s">
        <v>14</v>
      </c>
      <c r="F80" s="9" t="s">
        <v>15</v>
      </c>
      <c r="G80" s="11">
        <v>1</v>
      </c>
      <c r="J80" s="7">
        <v>4.1950000000000003</v>
      </c>
      <c r="K80" s="11">
        <f t="shared" ref="K80:K143" si="14">YEAR(A80)</f>
        <v>2026</v>
      </c>
      <c r="L80" s="11" t="s">
        <v>25</v>
      </c>
      <c r="M80" s="11" t="s">
        <v>17</v>
      </c>
    </row>
    <row r="81" spans="1:13" x14ac:dyDescent="0.25">
      <c r="A81" s="6">
        <v>46120.916666666664</v>
      </c>
      <c r="B81" s="11">
        <f t="shared" si="11"/>
        <v>4</v>
      </c>
      <c r="C81" s="11">
        <f t="shared" si="12"/>
        <v>15</v>
      </c>
      <c r="D81" s="5" t="s">
        <v>18</v>
      </c>
      <c r="E81" s="11" t="s">
        <v>14</v>
      </c>
      <c r="F81" s="9" t="s">
        <v>15</v>
      </c>
      <c r="G81" s="11">
        <v>1</v>
      </c>
      <c r="J81" s="7">
        <v>1.321</v>
      </c>
      <c r="K81" s="11">
        <f t="shared" si="14"/>
        <v>2026</v>
      </c>
      <c r="L81" s="11" t="s">
        <v>25</v>
      </c>
      <c r="M81" s="11" t="s">
        <v>17</v>
      </c>
    </row>
    <row r="82" spans="1:13" x14ac:dyDescent="0.25">
      <c r="A82" s="6">
        <v>46120.916666666664</v>
      </c>
      <c r="B82" s="11">
        <f t="shared" si="11"/>
        <v>4</v>
      </c>
      <c r="C82" s="11">
        <f t="shared" si="12"/>
        <v>15</v>
      </c>
      <c r="D82" s="5" t="s">
        <v>18</v>
      </c>
      <c r="E82" s="11" t="s">
        <v>14</v>
      </c>
      <c r="F82" s="9" t="s">
        <v>15</v>
      </c>
      <c r="G82" s="11">
        <v>1</v>
      </c>
      <c r="J82" s="7">
        <v>0.69</v>
      </c>
      <c r="K82" s="11">
        <f t="shared" si="14"/>
        <v>2026</v>
      </c>
      <c r="L82" s="11" t="s">
        <v>25</v>
      </c>
      <c r="M82" s="11" t="s">
        <v>17</v>
      </c>
    </row>
    <row r="83" spans="1:13" x14ac:dyDescent="0.25">
      <c r="A83" s="6">
        <v>46120.916666666664</v>
      </c>
      <c r="B83" s="11">
        <f t="shared" si="11"/>
        <v>4</v>
      </c>
      <c r="C83" s="11">
        <f t="shared" si="12"/>
        <v>15</v>
      </c>
      <c r="D83" s="5" t="s">
        <v>18</v>
      </c>
      <c r="E83" s="11" t="s">
        <v>14</v>
      </c>
      <c r="F83" s="9" t="s">
        <v>15</v>
      </c>
      <c r="G83" s="11">
        <v>1</v>
      </c>
      <c r="J83" s="7">
        <v>6.0609999999999999</v>
      </c>
      <c r="K83" s="11">
        <f t="shared" si="14"/>
        <v>2026</v>
      </c>
      <c r="L83" s="11" t="s">
        <v>25</v>
      </c>
      <c r="M83" s="11" t="s">
        <v>17</v>
      </c>
    </row>
    <row r="84" spans="1:13" x14ac:dyDescent="0.25">
      <c r="A84" s="6">
        <v>46120.916666666664</v>
      </c>
      <c r="B84" s="11">
        <f t="shared" si="11"/>
        <v>4</v>
      </c>
      <c r="C84" s="11">
        <f t="shared" si="12"/>
        <v>15</v>
      </c>
      <c r="D84" s="5" t="s">
        <v>18</v>
      </c>
      <c r="E84" s="11" t="s">
        <v>14</v>
      </c>
      <c r="F84" s="9" t="s">
        <v>15</v>
      </c>
      <c r="G84" s="11">
        <v>1</v>
      </c>
      <c r="J84" s="7">
        <v>0.435</v>
      </c>
      <c r="K84" s="11">
        <f t="shared" si="14"/>
        <v>2026</v>
      </c>
      <c r="L84" s="11" t="s">
        <v>25</v>
      </c>
      <c r="M84" s="11" t="s">
        <v>17</v>
      </c>
    </row>
    <row r="85" spans="1:13" x14ac:dyDescent="0.25">
      <c r="A85" s="6">
        <v>46120.916666666664</v>
      </c>
      <c r="B85" s="11">
        <f t="shared" si="11"/>
        <v>4</v>
      </c>
      <c r="C85" s="11">
        <f t="shared" si="12"/>
        <v>15</v>
      </c>
      <c r="D85" s="5" t="s">
        <v>18</v>
      </c>
      <c r="E85" s="11" t="s">
        <v>14</v>
      </c>
      <c r="F85" s="9" t="s">
        <v>15</v>
      </c>
      <c r="G85" s="11">
        <v>1</v>
      </c>
      <c r="J85" s="7">
        <v>1.014</v>
      </c>
      <c r="K85" s="11">
        <f t="shared" si="14"/>
        <v>2026</v>
      </c>
      <c r="L85" s="11" t="s">
        <v>25</v>
      </c>
      <c r="M85" s="11" t="s">
        <v>17</v>
      </c>
    </row>
    <row r="86" spans="1:13" x14ac:dyDescent="0.25">
      <c r="A86" s="6">
        <v>46120.916666666664</v>
      </c>
      <c r="B86" s="11">
        <f t="shared" si="11"/>
        <v>4</v>
      </c>
      <c r="C86" s="11">
        <f t="shared" si="12"/>
        <v>15</v>
      </c>
      <c r="D86" s="5" t="s">
        <v>18</v>
      </c>
      <c r="E86" s="11" t="s">
        <v>14</v>
      </c>
      <c r="F86" s="9" t="s">
        <v>15</v>
      </c>
      <c r="G86" s="11">
        <v>1</v>
      </c>
      <c r="J86" s="7">
        <v>0.60299999999999998</v>
      </c>
      <c r="K86" s="11">
        <f t="shared" si="14"/>
        <v>2026</v>
      </c>
      <c r="L86" s="11" t="s">
        <v>25</v>
      </c>
      <c r="M86" s="11" t="s">
        <v>17</v>
      </c>
    </row>
    <row r="87" spans="1:13" x14ac:dyDescent="0.25">
      <c r="A87" s="6">
        <v>46120.916666666664</v>
      </c>
      <c r="B87" s="11">
        <f t="shared" si="11"/>
        <v>4</v>
      </c>
      <c r="C87" s="11">
        <f t="shared" si="12"/>
        <v>15</v>
      </c>
      <c r="D87" s="5" t="s">
        <v>18</v>
      </c>
      <c r="E87" s="11" t="s">
        <v>14</v>
      </c>
      <c r="F87" s="9" t="s">
        <v>15</v>
      </c>
      <c r="G87" s="11">
        <v>1</v>
      </c>
      <c r="J87" s="7">
        <v>0.34399999999999997</v>
      </c>
      <c r="K87" s="11">
        <f t="shared" si="14"/>
        <v>2026</v>
      </c>
      <c r="L87" s="11" t="s">
        <v>25</v>
      </c>
      <c r="M87" s="11" t="s">
        <v>17</v>
      </c>
    </row>
    <row r="88" spans="1:13" x14ac:dyDescent="0.25">
      <c r="A88" s="6">
        <v>46120.916666666664</v>
      </c>
      <c r="B88" s="11">
        <f t="shared" si="11"/>
        <v>4</v>
      </c>
      <c r="C88" s="11">
        <f t="shared" si="12"/>
        <v>15</v>
      </c>
      <c r="D88" s="5" t="s">
        <v>18</v>
      </c>
      <c r="E88" s="11" t="s">
        <v>14</v>
      </c>
      <c r="F88" s="9" t="s">
        <v>15</v>
      </c>
      <c r="G88" s="11">
        <v>1</v>
      </c>
      <c r="J88" s="7">
        <v>0.86899999999999999</v>
      </c>
      <c r="K88" s="11">
        <f t="shared" si="14"/>
        <v>2026</v>
      </c>
      <c r="L88" s="11" t="s">
        <v>25</v>
      </c>
      <c r="M88" s="11" t="s">
        <v>17</v>
      </c>
    </row>
    <row r="89" spans="1:13" x14ac:dyDescent="0.25">
      <c r="A89" s="6">
        <v>46120</v>
      </c>
      <c r="B89" s="11">
        <f t="shared" si="11"/>
        <v>4</v>
      </c>
      <c r="C89" s="11">
        <f t="shared" si="12"/>
        <v>15</v>
      </c>
      <c r="D89" s="5" t="s">
        <v>20</v>
      </c>
      <c r="E89" s="11" t="s">
        <v>14</v>
      </c>
      <c r="F89" s="9" t="s">
        <v>22</v>
      </c>
      <c r="G89" s="11">
        <v>1</v>
      </c>
      <c r="J89" s="7">
        <v>4.13</v>
      </c>
      <c r="K89" s="11">
        <f t="shared" si="14"/>
        <v>2026</v>
      </c>
      <c r="L89" s="11" t="s">
        <v>25</v>
      </c>
      <c r="M89" s="11" t="s">
        <v>17</v>
      </c>
    </row>
    <row r="90" spans="1:13" x14ac:dyDescent="0.25">
      <c r="A90" s="6">
        <v>46119.25</v>
      </c>
      <c r="B90" s="11">
        <f t="shared" si="11"/>
        <v>4</v>
      </c>
      <c r="C90" s="11">
        <f t="shared" si="12"/>
        <v>15</v>
      </c>
      <c r="D90" s="5" t="s">
        <v>18</v>
      </c>
      <c r="E90" s="11" t="s">
        <v>14</v>
      </c>
      <c r="F90" s="9" t="s">
        <v>15</v>
      </c>
      <c r="G90" s="11">
        <v>1</v>
      </c>
      <c r="J90" s="7">
        <v>5.52</v>
      </c>
      <c r="K90" s="11">
        <f t="shared" si="14"/>
        <v>2026</v>
      </c>
      <c r="L90" s="11" t="s">
        <v>25</v>
      </c>
      <c r="M90" s="11" t="s">
        <v>17</v>
      </c>
    </row>
    <row r="91" spans="1:13" x14ac:dyDescent="0.25">
      <c r="A91" s="6">
        <v>46123.291666666664</v>
      </c>
      <c r="B91" s="11">
        <f t="shared" si="11"/>
        <v>4</v>
      </c>
      <c r="C91" s="11">
        <f t="shared" si="12"/>
        <v>15</v>
      </c>
      <c r="D91" s="5" t="s">
        <v>18</v>
      </c>
      <c r="E91" s="11" t="s">
        <v>14</v>
      </c>
      <c r="F91" s="9" t="s">
        <v>15</v>
      </c>
      <c r="G91" s="11">
        <v>1</v>
      </c>
      <c r="J91" s="7">
        <v>1.2999999999999999E-2</v>
      </c>
      <c r="K91" s="11">
        <f t="shared" si="14"/>
        <v>2026</v>
      </c>
      <c r="L91" s="11" t="s">
        <v>25</v>
      </c>
      <c r="M91" s="11" t="s">
        <v>17</v>
      </c>
    </row>
    <row r="92" spans="1:13" x14ac:dyDescent="0.25">
      <c r="A92" s="6">
        <v>46119.25</v>
      </c>
      <c r="B92" s="11">
        <f t="shared" si="11"/>
        <v>4</v>
      </c>
      <c r="C92" s="11">
        <f t="shared" si="12"/>
        <v>15</v>
      </c>
      <c r="D92" s="5" t="s">
        <v>18</v>
      </c>
      <c r="E92" s="11" t="s">
        <v>14</v>
      </c>
      <c r="F92" s="9" t="s">
        <v>15</v>
      </c>
      <c r="G92" s="11">
        <v>1</v>
      </c>
      <c r="J92" s="7">
        <v>3.488</v>
      </c>
      <c r="K92" s="11">
        <f t="shared" si="14"/>
        <v>2026</v>
      </c>
      <c r="L92" s="11" t="s">
        <v>25</v>
      </c>
      <c r="M92" s="11" t="s">
        <v>17</v>
      </c>
    </row>
    <row r="93" spans="1:13" x14ac:dyDescent="0.25">
      <c r="A93" s="6">
        <v>46119.25</v>
      </c>
      <c r="B93" s="11">
        <f t="shared" si="11"/>
        <v>4</v>
      </c>
      <c r="C93" s="11">
        <f t="shared" si="12"/>
        <v>15</v>
      </c>
      <c r="D93" s="5" t="s">
        <v>18</v>
      </c>
      <c r="E93" s="11" t="s">
        <v>14</v>
      </c>
      <c r="F93" s="9" t="s">
        <v>15</v>
      </c>
      <c r="G93" s="11">
        <v>1</v>
      </c>
      <c r="J93" s="7">
        <v>0.52300000000000002</v>
      </c>
      <c r="K93" s="11">
        <f t="shared" si="14"/>
        <v>2026</v>
      </c>
      <c r="L93" s="11" t="s">
        <v>25</v>
      </c>
      <c r="M93" s="11" t="s">
        <v>17</v>
      </c>
    </row>
    <row r="94" spans="1:13" x14ac:dyDescent="0.25">
      <c r="A94" s="6">
        <v>46119.25</v>
      </c>
      <c r="B94" s="11">
        <f t="shared" si="11"/>
        <v>4</v>
      </c>
      <c r="C94" s="11">
        <f t="shared" si="12"/>
        <v>15</v>
      </c>
      <c r="D94" s="5" t="s">
        <v>18</v>
      </c>
      <c r="E94" s="11" t="s">
        <v>14</v>
      </c>
      <c r="F94" s="9" t="s">
        <v>15</v>
      </c>
      <c r="G94" s="11">
        <v>1</v>
      </c>
      <c r="J94" s="7">
        <v>1.873</v>
      </c>
      <c r="K94" s="11">
        <f t="shared" si="14"/>
        <v>2026</v>
      </c>
      <c r="L94" s="11" t="s">
        <v>25</v>
      </c>
      <c r="M94" s="11" t="s">
        <v>17</v>
      </c>
    </row>
    <row r="95" spans="1:13" x14ac:dyDescent="0.25">
      <c r="A95" s="6">
        <v>46119</v>
      </c>
      <c r="B95" s="11">
        <f t="shared" si="11"/>
        <v>4</v>
      </c>
      <c r="C95" s="11">
        <f t="shared" si="12"/>
        <v>15</v>
      </c>
      <c r="D95" s="5" t="s">
        <v>13</v>
      </c>
      <c r="E95" s="11" t="s">
        <v>14</v>
      </c>
      <c r="F95" s="9" t="s">
        <v>22</v>
      </c>
      <c r="G95" s="11">
        <v>1</v>
      </c>
      <c r="J95" s="7">
        <v>7.0739999999999998</v>
      </c>
      <c r="K95" s="11">
        <f t="shared" si="14"/>
        <v>2026</v>
      </c>
      <c r="L95" s="11" t="s">
        <v>25</v>
      </c>
      <c r="M95" s="11" t="s">
        <v>17</v>
      </c>
    </row>
    <row r="96" spans="1:13" x14ac:dyDescent="0.25">
      <c r="A96" s="6">
        <v>46123.291666666664</v>
      </c>
      <c r="B96" s="11">
        <f t="shared" si="11"/>
        <v>4</v>
      </c>
      <c r="C96" s="11">
        <f t="shared" si="12"/>
        <v>15</v>
      </c>
      <c r="D96" s="5" t="s">
        <v>18</v>
      </c>
      <c r="E96" s="11" t="s">
        <v>14</v>
      </c>
      <c r="F96" s="9" t="s">
        <v>15</v>
      </c>
      <c r="G96" s="11">
        <v>1</v>
      </c>
      <c r="J96" s="7">
        <v>0.52600000000000002</v>
      </c>
      <c r="K96" s="11">
        <f t="shared" si="14"/>
        <v>2026</v>
      </c>
      <c r="L96" s="11" t="s">
        <v>25</v>
      </c>
      <c r="M96" s="11" t="s">
        <v>17</v>
      </c>
    </row>
    <row r="97" spans="1:13" x14ac:dyDescent="0.25">
      <c r="A97" s="6">
        <v>46119</v>
      </c>
      <c r="B97" s="11">
        <f t="shared" si="11"/>
        <v>4</v>
      </c>
      <c r="C97" s="11">
        <f t="shared" si="12"/>
        <v>15</v>
      </c>
      <c r="D97" s="5" t="s">
        <v>13</v>
      </c>
      <c r="E97" s="11" t="s">
        <v>14</v>
      </c>
      <c r="F97" s="9" t="s">
        <v>22</v>
      </c>
      <c r="G97" s="11">
        <v>1</v>
      </c>
      <c r="J97" s="7">
        <v>4.4169999999999998</v>
      </c>
      <c r="K97" s="11">
        <f t="shared" si="14"/>
        <v>2026</v>
      </c>
      <c r="L97" s="11" t="s">
        <v>25</v>
      </c>
      <c r="M97" s="11" t="s">
        <v>17</v>
      </c>
    </row>
    <row r="98" spans="1:13" x14ac:dyDescent="0.25">
      <c r="A98" s="6">
        <v>46121</v>
      </c>
      <c r="B98" s="11">
        <f t="shared" si="11"/>
        <v>4</v>
      </c>
      <c r="C98" s="11">
        <f t="shared" si="12"/>
        <v>15</v>
      </c>
      <c r="D98" s="5" t="s">
        <v>19</v>
      </c>
      <c r="E98" s="11" t="s">
        <v>14</v>
      </c>
      <c r="F98" s="9" t="s">
        <v>22</v>
      </c>
      <c r="G98" s="11">
        <v>1</v>
      </c>
      <c r="J98" s="7">
        <v>1.2010000000000001</v>
      </c>
      <c r="K98" s="11">
        <f t="shared" si="14"/>
        <v>2026</v>
      </c>
      <c r="L98" s="11" t="s">
        <v>25</v>
      </c>
      <c r="M98" s="11" t="s">
        <v>17</v>
      </c>
    </row>
    <row r="99" spans="1:13" x14ac:dyDescent="0.25">
      <c r="A99" s="6">
        <v>46121</v>
      </c>
      <c r="B99" s="11">
        <f t="shared" si="11"/>
        <v>4</v>
      </c>
      <c r="C99" s="11">
        <f t="shared" si="12"/>
        <v>15</v>
      </c>
      <c r="D99" s="5" t="s">
        <v>19</v>
      </c>
      <c r="E99" s="11" t="s">
        <v>14</v>
      </c>
      <c r="F99" s="9" t="s">
        <v>22</v>
      </c>
      <c r="G99" s="11">
        <v>1</v>
      </c>
      <c r="J99" s="7">
        <v>2.403</v>
      </c>
      <c r="K99" s="11">
        <f t="shared" si="14"/>
        <v>2026</v>
      </c>
      <c r="L99" s="11" t="s">
        <v>25</v>
      </c>
      <c r="M99" s="11" t="s">
        <v>17</v>
      </c>
    </row>
    <row r="100" spans="1:13" x14ac:dyDescent="0.25">
      <c r="A100" s="6">
        <v>46123.291666666664</v>
      </c>
      <c r="B100" s="11">
        <f t="shared" si="11"/>
        <v>4</v>
      </c>
      <c r="C100" s="11">
        <f t="shared" si="12"/>
        <v>15</v>
      </c>
      <c r="D100" s="5" t="s">
        <v>18</v>
      </c>
      <c r="E100" s="11" t="s">
        <v>14</v>
      </c>
      <c r="F100" s="9" t="s">
        <v>15</v>
      </c>
      <c r="G100" s="11">
        <v>1</v>
      </c>
      <c r="J100" s="7">
        <v>0.52800000000000002</v>
      </c>
      <c r="K100" s="11">
        <f t="shared" si="14"/>
        <v>2026</v>
      </c>
      <c r="L100" s="11" t="s">
        <v>25</v>
      </c>
      <c r="M100" s="11" t="s">
        <v>17</v>
      </c>
    </row>
    <row r="101" spans="1:13" x14ac:dyDescent="0.25">
      <c r="A101" s="6">
        <v>46121</v>
      </c>
      <c r="B101" s="11">
        <f t="shared" si="11"/>
        <v>4</v>
      </c>
      <c r="C101" s="11">
        <f t="shared" si="12"/>
        <v>15</v>
      </c>
      <c r="D101" s="5" t="s">
        <v>19</v>
      </c>
      <c r="E101" s="11" t="s">
        <v>14</v>
      </c>
      <c r="F101" s="9" t="s">
        <v>22</v>
      </c>
      <c r="G101" s="11">
        <v>1</v>
      </c>
      <c r="J101" s="7">
        <v>1.37</v>
      </c>
      <c r="K101" s="11">
        <f t="shared" si="14"/>
        <v>2026</v>
      </c>
      <c r="L101" s="11" t="s">
        <v>25</v>
      </c>
      <c r="M101" s="11" t="s">
        <v>17</v>
      </c>
    </row>
    <row r="102" spans="1:13" x14ac:dyDescent="0.25">
      <c r="A102" s="6">
        <v>46119</v>
      </c>
      <c r="B102" s="11">
        <f t="shared" si="11"/>
        <v>4</v>
      </c>
      <c r="C102" s="11">
        <f t="shared" si="12"/>
        <v>15</v>
      </c>
      <c r="D102" s="5" t="s">
        <v>21</v>
      </c>
      <c r="E102" s="11" t="s">
        <v>14</v>
      </c>
      <c r="F102" s="9" t="s">
        <v>22</v>
      </c>
      <c r="G102" s="11">
        <v>1</v>
      </c>
      <c r="J102" s="7">
        <v>5.4939999999999998</v>
      </c>
      <c r="K102" s="11">
        <f t="shared" si="14"/>
        <v>2026</v>
      </c>
      <c r="L102" s="11" t="s">
        <v>25</v>
      </c>
      <c r="M102" s="11" t="s">
        <v>17</v>
      </c>
    </row>
    <row r="103" spans="1:13" x14ac:dyDescent="0.25">
      <c r="A103" s="6">
        <v>46119</v>
      </c>
      <c r="B103" s="11">
        <f t="shared" si="11"/>
        <v>4</v>
      </c>
      <c r="C103" s="11">
        <f t="shared" si="12"/>
        <v>15</v>
      </c>
      <c r="D103" s="5" t="s">
        <v>21</v>
      </c>
      <c r="E103" s="11" t="s">
        <v>14</v>
      </c>
      <c r="F103" s="9" t="s">
        <v>22</v>
      </c>
      <c r="G103" s="11">
        <v>1</v>
      </c>
      <c r="J103" s="7">
        <v>3.3119999999999998</v>
      </c>
      <c r="K103" s="11">
        <f t="shared" si="14"/>
        <v>2026</v>
      </c>
      <c r="L103" s="11" t="s">
        <v>25</v>
      </c>
      <c r="M103" s="11" t="s">
        <v>17</v>
      </c>
    </row>
    <row r="104" spans="1:13" x14ac:dyDescent="0.25">
      <c r="A104" s="6">
        <v>46119</v>
      </c>
      <c r="B104" s="11">
        <f t="shared" si="11"/>
        <v>4</v>
      </c>
      <c r="C104" s="11">
        <f t="shared" si="12"/>
        <v>15</v>
      </c>
      <c r="D104" s="5" t="s">
        <v>21</v>
      </c>
      <c r="E104" s="11" t="s">
        <v>14</v>
      </c>
      <c r="F104" s="9" t="s">
        <v>22</v>
      </c>
      <c r="G104" s="11">
        <v>1</v>
      </c>
      <c r="J104" s="7">
        <v>9.0169999999999995</v>
      </c>
      <c r="K104" s="11">
        <f t="shared" si="14"/>
        <v>2026</v>
      </c>
      <c r="L104" s="11" t="s">
        <v>25</v>
      </c>
      <c r="M104" s="11" t="s">
        <v>17</v>
      </c>
    </row>
    <row r="105" spans="1:13" x14ac:dyDescent="0.25">
      <c r="A105" s="6">
        <v>46119</v>
      </c>
      <c r="B105" s="11">
        <f t="shared" si="11"/>
        <v>4</v>
      </c>
      <c r="C105" s="11">
        <f t="shared" si="12"/>
        <v>15</v>
      </c>
      <c r="D105" s="5" t="s">
        <v>21</v>
      </c>
      <c r="E105" s="11" t="s">
        <v>14</v>
      </c>
      <c r="F105" s="9" t="s">
        <v>22</v>
      </c>
      <c r="G105" s="11">
        <v>1</v>
      </c>
      <c r="J105" s="7">
        <v>3.194</v>
      </c>
      <c r="K105" s="11">
        <f t="shared" si="14"/>
        <v>2026</v>
      </c>
      <c r="L105" s="11" t="s">
        <v>25</v>
      </c>
      <c r="M105" s="11" t="s">
        <v>17</v>
      </c>
    </row>
    <row r="106" spans="1:13" x14ac:dyDescent="0.25">
      <c r="A106" s="6">
        <v>46119</v>
      </c>
      <c r="B106" s="11">
        <f t="shared" si="11"/>
        <v>4</v>
      </c>
      <c r="C106" s="11">
        <f t="shared" si="12"/>
        <v>15</v>
      </c>
      <c r="D106" s="5" t="s">
        <v>21</v>
      </c>
      <c r="E106" s="11" t="s">
        <v>14</v>
      </c>
      <c r="F106" s="9" t="s">
        <v>22</v>
      </c>
      <c r="G106" s="11">
        <v>1</v>
      </c>
      <c r="J106" s="7">
        <v>2.7639999999999998</v>
      </c>
      <c r="K106" s="11">
        <f t="shared" si="14"/>
        <v>2026</v>
      </c>
      <c r="L106" s="11" t="s">
        <v>25</v>
      </c>
      <c r="M106" s="11" t="s">
        <v>17</v>
      </c>
    </row>
    <row r="107" spans="1:13" x14ac:dyDescent="0.25">
      <c r="A107" s="6">
        <v>46118</v>
      </c>
      <c r="B107" s="11">
        <f t="shared" si="11"/>
        <v>4</v>
      </c>
      <c r="C107" s="11">
        <f t="shared" si="12"/>
        <v>15</v>
      </c>
      <c r="D107" s="5" t="s">
        <v>23</v>
      </c>
      <c r="E107" s="11" t="s">
        <v>14</v>
      </c>
      <c r="F107" s="9" t="s">
        <v>22</v>
      </c>
      <c r="G107" s="11">
        <v>1</v>
      </c>
      <c r="J107" s="7">
        <v>0.74299999999999999</v>
      </c>
      <c r="K107" s="11">
        <f t="shared" si="14"/>
        <v>2026</v>
      </c>
      <c r="L107" s="11" t="s">
        <v>25</v>
      </c>
      <c r="M107" s="11" t="s">
        <v>17</v>
      </c>
    </row>
    <row r="108" spans="1:13" x14ac:dyDescent="0.25">
      <c r="A108" s="6">
        <v>46122</v>
      </c>
      <c r="B108" s="11">
        <f t="shared" si="11"/>
        <v>4</v>
      </c>
      <c r="C108" s="11">
        <f t="shared" si="12"/>
        <v>15</v>
      </c>
      <c r="D108" s="5" t="s">
        <v>19</v>
      </c>
      <c r="E108" s="11" t="s">
        <v>14</v>
      </c>
      <c r="F108" s="9" t="s">
        <v>22</v>
      </c>
      <c r="G108" s="11">
        <v>1</v>
      </c>
      <c r="J108" s="7">
        <v>8.8989999999999991</v>
      </c>
      <c r="K108" s="11">
        <f t="shared" si="14"/>
        <v>2026</v>
      </c>
      <c r="L108" s="11" t="s">
        <v>25</v>
      </c>
      <c r="M108" s="11" t="s">
        <v>17</v>
      </c>
    </row>
    <row r="109" spans="1:13" x14ac:dyDescent="0.25">
      <c r="A109" s="6">
        <v>46122</v>
      </c>
      <c r="B109" s="11">
        <f t="shared" si="11"/>
        <v>4</v>
      </c>
      <c r="C109" s="11">
        <f t="shared" si="12"/>
        <v>15</v>
      </c>
      <c r="D109" s="5" t="s">
        <v>19</v>
      </c>
      <c r="E109" s="11" t="s">
        <v>14</v>
      </c>
      <c r="F109" s="9" t="s">
        <v>22</v>
      </c>
      <c r="G109" s="11">
        <v>1</v>
      </c>
      <c r="J109" s="7">
        <v>2.4279999999999999</v>
      </c>
      <c r="K109" s="11">
        <f t="shared" si="14"/>
        <v>2026</v>
      </c>
      <c r="L109" s="11" t="s">
        <v>25</v>
      </c>
      <c r="M109" s="11" t="s">
        <v>17</v>
      </c>
    </row>
    <row r="110" spans="1:13" x14ac:dyDescent="0.25">
      <c r="A110" s="6">
        <v>46123.291666666664</v>
      </c>
      <c r="B110" s="11">
        <f t="shared" si="11"/>
        <v>4</v>
      </c>
      <c r="C110" s="11">
        <f t="shared" si="12"/>
        <v>15</v>
      </c>
      <c r="D110" s="5" t="s">
        <v>18</v>
      </c>
      <c r="E110" s="11" t="s">
        <v>14</v>
      </c>
      <c r="F110" s="9" t="s">
        <v>15</v>
      </c>
      <c r="G110" s="11">
        <v>1</v>
      </c>
      <c r="J110" s="7">
        <v>3.093</v>
      </c>
      <c r="K110" s="11">
        <f t="shared" si="14"/>
        <v>2026</v>
      </c>
      <c r="L110" s="11" t="s">
        <v>25</v>
      </c>
      <c r="M110" s="11" t="s">
        <v>17</v>
      </c>
    </row>
    <row r="111" spans="1:13" x14ac:dyDescent="0.25">
      <c r="A111" s="6">
        <v>46120.125</v>
      </c>
      <c r="B111" s="11">
        <f t="shared" si="11"/>
        <v>4</v>
      </c>
      <c r="C111" s="11">
        <f t="shared" si="12"/>
        <v>15</v>
      </c>
      <c r="D111" s="5" t="s">
        <v>13</v>
      </c>
      <c r="E111" s="11" t="s">
        <v>14</v>
      </c>
      <c r="F111" s="9" t="s">
        <v>15</v>
      </c>
      <c r="G111" s="11">
        <v>1</v>
      </c>
      <c r="J111" s="7">
        <v>1.1000000000000001</v>
      </c>
      <c r="K111" s="11">
        <f t="shared" si="14"/>
        <v>2026</v>
      </c>
      <c r="L111" s="11" t="s">
        <v>25</v>
      </c>
      <c r="M111" s="11" t="s">
        <v>17</v>
      </c>
    </row>
    <row r="112" spans="1:13" x14ac:dyDescent="0.25">
      <c r="A112" s="6">
        <v>46120.125</v>
      </c>
      <c r="B112" s="11">
        <f t="shared" si="11"/>
        <v>4</v>
      </c>
      <c r="C112" s="11">
        <f t="shared" si="12"/>
        <v>15</v>
      </c>
      <c r="D112" s="5" t="s">
        <v>13</v>
      </c>
      <c r="E112" s="11" t="s">
        <v>14</v>
      </c>
      <c r="F112" s="9" t="s">
        <v>15</v>
      </c>
      <c r="G112" s="11">
        <v>1</v>
      </c>
      <c r="J112" s="7">
        <v>3.1349999999999998</v>
      </c>
      <c r="K112" s="11">
        <f t="shared" si="14"/>
        <v>2026</v>
      </c>
      <c r="L112" s="11" t="s">
        <v>25</v>
      </c>
      <c r="M112" s="11" t="s">
        <v>17</v>
      </c>
    </row>
    <row r="113" spans="1:13" x14ac:dyDescent="0.25">
      <c r="A113" s="6">
        <v>46120.125</v>
      </c>
      <c r="B113" s="11">
        <f t="shared" si="11"/>
        <v>4</v>
      </c>
      <c r="C113" s="11">
        <f t="shared" si="12"/>
        <v>15</v>
      </c>
      <c r="D113" s="5" t="s">
        <v>13</v>
      </c>
      <c r="E113" s="11" t="s">
        <v>14</v>
      </c>
      <c r="F113" s="9" t="s">
        <v>15</v>
      </c>
      <c r="G113" s="11">
        <v>1</v>
      </c>
      <c r="J113" s="7">
        <v>2.6259999999999999</v>
      </c>
      <c r="K113" s="11">
        <f t="shared" si="14"/>
        <v>2026</v>
      </c>
      <c r="L113" s="11" t="s">
        <v>25</v>
      </c>
      <c r="M113" s="11" t="s">
        <v>17</v>
      </c>
    </row>
    <row r="114" spans="1:13" x14ac:dyDescent="0.25">
      <c r="A114" s="6">
        <v>46120.125</v>
      </c>
      <c r="B114" s="11">
        <f t="shared" si="11"/>
        <v>4</v>
      </c>
      <c r="C114" s="11">
        <f t="shared" si="12"/>
        <v>15</v>
      </c>
      <c r="D114" s="5" t="s">
        <v>13</v>
      </c>
      <c r="E114" s="11" t="s">
        <v>14</v>
      </c>
      <c r="F114" s="9" t="s">
        <v>15</v>
      </c>
      <c r="G114" s="11">
        <v>1</v>
      </c>
      <c r="J114" s="7">
        <v>1.51</v>
      </c>
      <c r="K114" s="11">
        <f t="shared" si="14"/>
        <v>2026</v>
      </c>
      <c r="L114" s="11" t="s">
        <v>25</v>
      </c>
      <c r="M114" s="11" t="s">
        <v>17</v>
      </c>
    </row>
    <row r="115" spans="1:13" x14ac:dyDescent="0.25">
      <c r="A115" s="6">
        <v>46120.125</v>
      </c>
      <c r="B115" s="11">
        <f t="shared" si="11"/>
        <v>4</v>
      </c>
      <c r="C115" s="11">
        <f t="shared" si="12"/>
        <v>15</v>
      </c>
      <c r="D115" s="5" t="s">
        <v>13</v>
      </c>
      <c r="E115" s="11" t="s">
        <v>14</v>
      </c>
      <c r="F115" s="9" t="s">
        <v>15</v>
      </c>
      <c r="G115" s="11">
        <v>1</v>
      </c>
      <c r="J115" s="7">
        <v>6.12</v>
      </c>
      <c r="K115" s="11">
        <f t="shared" si="14"/>
        <v>2026</v>
      </c>
      <c r="L115" s="11" t="s">
        <v>25</v>
      </c>
      <c r="M115" s="11" t="s">
        <v>17</v>
      </c>
    </row>
    <row r="116" spans="1:13" x14ac:dyDescent="0.25">
      <c r="A116" s="6">
        <v>46120.125</v>
      </c>
      <c r="B116" s="11">
        <f t="shared" si="11"/>
        <v>4</v>
      </c>
      <c r="C116" s="11">
        <f t="shared" si="12"/>
        <v>15</v>
      </c>
      <c r="D116" s="5" t="s">
        <v>13</v>
      </c>
      <c r="E116" s="11" t="s">
        <v>14</v>
      </c>
      <c r="F116" s="9" t="s">
        <v>15</v>
      </c>
      <c r="G116" s="11">
        <v>1</v>
      </c>
      <c r="J116" s="7">
        <v>2.8180000000000001</v>
      </c>
      <c r="K116" s="11">
        <f t="shared" si="14"/>
        <v>2026</v>
      </c>
      <c r="L116" s="11" t="s">
        <v>25</v>
      </c>
      <c r="M116" s="11" t="s">
        <v>17</v>
      </c>
    </row>
    <row r="117" spans="1:13" x14ac:dyDescent="0.25">
      <c r="A117" s="6">
        <v>46120.125</v>
      </c>
      <c r="B117" s="11">
        <f t="shared" si="11"/>
        <v>4</v>
      </c>
      <c r="C117" s="11">
        <f t="shared" si="12"/>
        <v>15</v>
      </c>
      <c r="D117" s="5" t="s">
        <v>13</v>
      </c>
      <c r="E117" s="11" t="s">
        <v>14</v>
      </c>
      <c r="F117" s="9" t="s">
        <v>15</v>
      </c>
      <c r="G117" s="11">
        <v>1</v>
      </c>
      <c r="J117" s="7">
        <v>6.2830000000000004</v>
      </c>
      <c r="K117" s="11">
        <f t="shared" si="14"/>
        <v>2026</v>
      </c>
      <c r="L117" s="11" t="s">
        <v>25</v>
      </c>
      <c r="M117" s="11" t="s">
        <v>17</v>
      </c>
    </row>
    <row r="118" spans="1:13" x14ac:dyDescent="0.25">
      <c r="A118" s="6">
        <v>46120.125</v>
      </c>
      <c r="B118" s="11">
        <f t="shared" si="11"/>
        <v>4</v>
      </c>
      <c r="C118" s="11">
        <f t="shared" si="12"/>
        <v>15</v>
      </c>
      <c r="D118" s="5" t="s">
        <v>13</v>
      </c>
      <c r="E118" s="11" t="s">
        <v>14</v>
      </c>
      <c r="F118" s="9" t="s">
        <v>15</v>
      </c>
      <c r="G118" s="11">
        <v>1</v>
      </c>
      <c r="J118" s="7">
        <v>6.2050000000000001</v>
      </c>
      <c r="K118" s="11">
        <f t="shared" si="14"/>
        <v>2026</v>
      </c>
      <c r="L118" s="11" t="s">
        <v>25</v>
      </c>
      <c r="M118" s="11" t="s">
        <v>17</v>
      </c>
    </row>
    <row r="119" spans="1:13" x14ac:dyDescent="0.25">
      <c r="A119" s="6">
        <v>46120.125</v>
      </c>
      <c r="B119" s="11">
        <f t="shared" si="11"/>
        <v>4</v>
      </c>
      <c r="C119" s="11">
        <f t="shared" si="12"/>
        <v>15</v>
      </c>
      <c r="D119" s="5" t="s">
        <v>13</v>
      </c>
      <c r="E119" s="11" t="s">
        <v>14</v>
      </c>
      <c r="F119" s="9" t="s">
        <v>15</v>
      </c>
      <c r="G119" s="11">
        <v>1</v>
      </c>
      <c r="J119" s="7">
        <v>6.5010000000000003</v>
      </c>
      <c r="K119" s="11">
        <f t="shared" si="14"/>
        <v>2026</v>
      </c>
      <c r="L119" s="11" t="s">
        <v>25</v>
      </c>
      <c r="M119" s="11" t="s">
        <v>17</v>
      </c>
    </row>
    <row r="120" spans="1:13" x14ac:dyDescent="0.25">
      <c r="A120" s="6">
        <v>46120.916666666664</v>
      </c>
      <c r="B120" s="11">
        <f t="shared" si="11"/>
        <v>4</v>
      </c>
      <c r="C120" s="11">
        <f t="shared" si="12"/>
        <v>15</v>
      </c>
      <c r="D120" s="5" t="s">
        <v>13</v>
      </c>
      <c r="E120" s="11" t="s">
        <v>14</v>
      </c>
      <c r="F120" s="9" t="s">
        <v>15</v>
      </c>
      <c r="G120" s="11">
        <v>1</v>
      </c>
      <c r="J120" s="7">
        <v>0.91500000000000004</v>
      </c>
      <c r="K120" s="11">
        <f t="shared" si="14"/>
        <v>2026</v>
      </c>
      <c r="L120" s="11" t="s">
        <v>25</v>
      </c>
      <c r="M120" s="11" t="s">
        <v>17</v>
      </c>
    </row>
    <row r="121" spans="1:13" x14ac:dyDescent="0.25">
      <c r="A121" s="6">
        <v>46120.916666666664</v>
      </c>
      <c r="B121" s="11">
        <f t="shared" si="11"/>
        <v>4</v>
      </c>
      <c r="C121" s="11">
        <f t="shared" si="12"/>
        <v>15</v>
      </c>
      <c r="D121" s="5" t="s">
        <v>13</v>
      </c>
      <c r="E121" s="11" t="s">
        <v>14</v>
      </c>
      <c r="F121" s="9" t="s">
        <v>15</v>
      </c>
      <c r="G121" s="11">
        <v>1</v>
      </c>
      <c r="J121" s="7">
        <v>2.0139999999999998</v>
      </c>
      <c r="K121" s="11">
        <f t="shared" si="14"/>
        <v>2026</v>
      </c>
      <c r="L121" s="11" t="s">
        <v>25</v>
      </c>
      <c r="M121" s="11" t="s">
        <v>17</v>
      </c>
    </row>
    <row r="122" spans="1:13" x14ac:dyDescent="0.25">
      <c r="A122" s="6">
        <v>46120.916666666664</v>
      </c>
      <c r="B122" s="11">
        <f t="shared" si="11"/>
        <v>4</v>
      </c>
      <c r="C122" s="11">
        <f t="shared" si="12"/>
        <v>15</v>
      </c>
      <c r="D122" s="5" t="s">
        <v>13</v>
      </c>
      <c r="E122" s="11" t="s">
        <v>14</v>
      </c>
      <c r="F122" s="9" t="s">
        <v>15</v>
      </c>
      <c r="G122" s="11">
        <v>1</v>
      </c>
      <c r="J122" s="7">
        <v>0.88700000000000001</v>
      </c>
      <c r="K122" s="11">
        <f t="shared" si="14"/>
        <v>2026</v>
      </c>
      <c r="L122" s="11" t="s">
        <v>25</v>
      </c>
      <c r="M122" s="11" t="s">
        <v>17</v>
      </c>
    </row>
    <row r="123" spans="1:13" x14ac:dyDescent="0.25">
      <c r="A123" s="6">
        <v>46119.25</v>
      </c>
      <c r="B123" s="11">
        <f t="shared" si="11"/>
        <v>4</v>
      </c>
      <c r="C123" s="11">
        <f t="shared" si="12"/>
        <v>15</v>
      </c>
      <c r="D123" s="5" t="s">
        <v>18</v>
      </c>
      <c r="E123" s="11" t="s">
        <v>14</v>
      </c>
      <c r="F123" s="9" t="s">
        <v>15</v>
      </c>
      <c r="G123" s="11">
        <v>1</v>
      </c>
      <c r="J123" s="7">
        <v>0.56000000000000005</v>
      </c>
      <c r="K123" s="11">
        <f t="shared" si="14"/>
        <v>2026</v>
      </c>
      <c r="L123" s="11" t="s">
        <v>25</v>
      </c>
      <c r="M123" s="11" t="s">
        <v>17</v>
      </c>
    </row>
    <row r="124" spans="1:13" x14ac:dyDescent="0.25">
      <c r="A124" s="6">
        <v>46118</v>
      </c>
      <c r="B124" s="11">
        <f t="shared" si="11"/>
        <v>4</v>
      </c>
      <c r="C124" s="11">
        <f t="shared" si="12"/>
        <v>15</v>
      </c>
      <c r="D124" s="5" t="s">
        <v>20</v>
      </c>
      <c r="E124" s="11" t="s">
        <v>14</v>
      </c>
      <c r="F124" s="9" t="s">
        <v>22</v>
      </c>
      <c r="G124" s="11">
        <v>1</v>
      </c>
      <c r="J124" s="7">
        <v>18.888000000000002</v>
      </c>
      <c r="K124" s="11">
        <f t="shared" si="14"/>
        <v>2026</v>
      </c>
      <c r="L124" s="11" t="s">
        <v>25</v>
      </c>
      <c r="M124" s="11" t="s">
        <v>17</v>
      </c>
    </row>
    <row r="125" spans="1:13" x14ac:dyDescent="0.25">
      <c r="A125" s="6">
        <v>46118</v>
      </c>
      <c r="B125" s="11">
        <f t="shared" si="11"/>
        <v>4</v>
      </c>
      <c r="C125" s="11">
        <f t="shared" si="12"/>
        <v>15</v>
      </c>
      <c r="D125" s="5" t="s">
        <v>20</v>
      </c>
      <c r="E125" s="11" t="s">
        <v>14</v>
      </c>
      <c r="F125" s="9" t="s">
        <v>22</v>
      </c>
      <c r="G125" s="11">
        <v>1</v>
      </c>
      <c r="J125" s="7">
        <v>3.052</v>
      </c>
      <c r="K125" s="11">
        <f t="shared" si="14"/>
        <v>2026</v>
      </c>
      <c r="L125" s="11" t="s">
        <v>25</v>
      </c>
      <c r="M125" s="11" t="s">
        <v>17</v>
      </c>
    </row>
    <row r="126" spans="1:13" x14ac:dyDescent="0.25">
      <c r="A126" s="6">
        <v>46118</v>
      </c>
      <c r="B126" s="11">
        <f t="shared" si="11"/>
        <v>4</v>
      </c>
      <c r="C126" s="11">
        <f t="shared" si="12"/>
        <v>15</v>
      </c>
      <c r="D126" s="5" t="s">
        <v>20</v>
      </c>
      <c r="E126" s="11" t="s">
        <v>14</v>
      </c>
      <c r="F126" s="9" t="s">
        <v>22</v>
      </c>
      <c r="G126" s="11">
        <v>1</v>
      </c>
      <c r="J126" s="7">
        <v>2.7559999999999998</v>
      </c>
      <c r="K126" s="11">
        <f t="shared" si="14"/>
        <v>2026</v>
      </c>
      <c r="L126" s="11" t="s">
        <v>25</v>
      </c>
      <c r="M126" s="11" t="s">
        <v>17</v>
      </c>
    </row>
    <row r="127" spans="1:13" x14ac:dyDescent="0.25">
      <c r="A127" s="6">
        <v>46118</v>
      </c>
      <c r="B127" s="11">
        <f t="shared" si="11"/>
        <v>4</v>
      </c>
      <c r="C127" s="11">
        <f t="shared" si="12"/>
        <v>15</v>
      </c>
      <c r="D127" s="5" t="s">
        <v>20</v>
      </c>
      <c r="E127" s="11" t="s">
        <v>14</v>
      </c>
      <c r="F127" s="9" t="s">
        <v>22</v>
      </c>
      <c r="G127" s="11">
        <v>1</v>
      </c>
      <c r="J127" s="7">
        <v>4.1660000000000004</v>
      </c>
      <c r="K127" s="11">
        <f t="shared" si="14"/>
        <v>2026</v>
      </c>
      <c r="L127" s="11" t="s">
        <v>25</v>
      </c>
      <c r="M127" s="11" t="s">
        <v>17</v>
      </c>
    </row>
    <row r="128" spans="1:13" x14ac:dyDescent="0.25">
      <c r="A128" s="6">
        <v>46118</v>
      </c>
      <c r="B128" s="11">
        <f t="shared" si="11"/>
        <v>4</v>
      </c>
      <c r="C128" s="11">
        <f t="shared" si="12"/>
        <v>15</v>
      </c>
      <c r="D128" s="5" t="s">
        <v>20</v>
      </c>
      <c r="E128" s="11" t="s">
        <v>14</v>
      </c>
      <c r="F128" s="9" t="s">
        <v>22</v>
      </c>
      <c r="G128" s="11">
        <v>1</v>
      </c>
      <c r="J128" s="7">
        <v>0.35099999999999998</v>
      </c>
      <c r="K128" s="11">
        <f t="shared" si="14"/>
        <v>2026</v>
      </c>
      <c r="L128" s="11" t="s">
        <v>25</v>
      </c>
      <c r="M128" s="11" t="s">
        <v>17</v>
      </c>
    </row>
    <row r="129" spans="1:13" x14ac:dyDescent="0.25">
      <c r="A129" s="6">
        <v>46120</v>
      </c>
      <c r="B129" s="11">
        <f t="shared" si="11"/>
        <v>4</v>
      </c>
      <c r="C129" s="11">
        <f t="shared" si="12"/>
        <v>15</v>
      </c>
      <c r="D129" s="5" t="s">
        <v>20</v>
      </c>
      <c r="E129" s="11" t="s">
        <v>14</v>
      </c>
      <c r="F129" s="9" t="s">
        <v>22</v>
      </c>
      <c r="G129" s="11">
        <v>1</v>
      </c>
      <c r="J129" s="7">
        <v>1.1319999999999999</v>
      </c>
      <c r="K129" s="11">
        <f t="shared" si="14"/>
        <v>2026</v>
      </c>
      <c r="L129" s="11" t="s">
        <v>25</v>
      </c>
      <c r="M129" s="11" t="s">
        <v>17</v>
      </c>
    </row>
    <row r="130" spans="1:13" x14ac:dyDescent="0.25">
      <c r="A130" s="6">
        <v>46120</v>
      </c>
      <c r="B130" s="11">
        <f t="shared" si="11"/>
        <v>4</v>
      </c>
      <c r="C130" s="11">
        <f t="shared" si="12"/>
        <v>15</v>
      </c>
      <c r="D130" s="5" t="s">
        <v>13</v>
      </c>
      <c r="E130" s="11" t="s">
        <v>14</v>
      </c>
      <c r="F130" s="9" t="s">
        <v>22</v>
      </c>
      <c r="G130" s="11">
        <v>1</v>
      </c>
      <c r="J130" s="7">
        <v>1.327</v>
      </c>
      <c r="K130" s="11">
        <f t="shared" si="14"/>
        <v>2026</v>
      </c>
      <c r="L130" s="11" t="s">
        <v>25</v>
      </c>
      <c r="M130" s="11" t="s">
        <v>17</v>
      </c>
    </row>
    <row r="131" spans="1:13" x14ac:dyDescent="0.25">
      <c r="A131" s="6">
        <v>46120.125</v>
      </c>
      <c r="B131" s="11">
        <f t="shared" si="11"/>
        <v>4</v>
      </c>
      <c r="C131" s="11">
        <f t="shared" si="12"/>
        <v>15</v>
      </c>
      <c r="D131" s="5" t="s">
        <v>18</v>
      </c>
      <c r="E131" s="11" t="s">
        <v>14</v>
      </c>
      <c r="F131" s="9" t="s">
        <v>15</v>
      </c>
      <c r="G131" s="11">
        <v>1</v>
      </c>
      <c r="J131" s="7">
        <v>0.61599999999999999</v>
      </c>
      <c r="K131" s="11">
        <f t="shared" si="14"/>
        <v>2026</v>
      </c>
      <c r="L131" s="11" t="s">
        <v>25</v>
      </c>
      <c r="M131" s="11" t="s">
        <v>17</v>
      </c>
    </row>
    <row r="132" spans="1:13" x14ac:dyDescent="0.25">
      <c r="A132" s="6">
        <v>46120.125</v>
      </c>
      <c r="B132" s="11">
        <f t="shared" si="11"/>
        <v>4</v>
      </c>
      <c r="C132" s="11">
        <f t="shared" si="12"/>
        <v>15</v>
      </c>
      <c r="D132" s="5" t="s">
        <v>18</v>
      </c>
      <c r="E132" s="11" t="s">
        <v>14</v>
      </c>
      <c r="F132" s="9" t="s">
        <v>15</v>
      </c>
      <c r="G132" s="11">
        <v>1</v>
      </c>
      <c r="J132" s="7">
        <v>0.53100000000000003</v>
      </c>
      <c r="K132" s="11">
        <f t="shared" si="14"/>
        <v>2026</v>
      </c>
      <c r="L132" s="11" t="s">
        <v>25</v>
      </c>
      <c r="M132" s="11" t="s">
        <v>17</v>
      </c>
    </row>
    <row r="133" spans="1:13" x14ac:dyDescent="0.25">
      <c r="A133" s="6">
        <v>46120</v>
      </c>
      <c r="B133" s="11">
        <f t="shared" si="11"/>
        <v>4</v>
      </c>
      <c r="C133" s="11">
        <f t="shared" si="12"/>
        <v>15</v>
      </c>
      <c r="D133" s="5" t="s">
        <v>13</v>
      </c>
      <c r="E133" s="11" t="s">
        <v>14</v>
      </c>
      <c r="F133" s="9" t="s">
        <v>22</v>
      </c>
      <c r="G133" s="11">
        <v>1</v>
      </c>
      <c r="J133" s="7">
        <v>3.3460000000000001</v>
      </c>
      <c r="K133" s="11">
        <f t="shared" si="14"/>
        <v>2026</v>
      </c>
      <c r="L133" s="11" t="s">
        <v>25</v>
      </c>
      <c r="M133" s="11" t="s">
        <v>17</v>
      </c>
    </row>
    <row r="134" spans="1:13" x14ac:dyDescent="0.25">
      <c r="A134" s="6">
        <v>46123.291666666664</v>
      </c>
      <c r="B134" s="11">
        <f t="shared" si="11"/>
        <v>4</v>
      </c>
      <c r="C134" s="11">
        <f t="shared" si="12"/>
        <v>15</v>
      </c>
      <c r="D134" s="5" t="s">
        <v>13</v>
      </c>
      <c r="E134" s="11" t="s">
        <v>14</v>
      </c>
      <c r="F134" s="9" t="s">
        <v>15</v>
      </c>
      <c r="G134" s="11">
        <v>1</v>
      </c>
      <c r="J134" s="7">
        <v>5.048</v>
      </c>
      <c r="K134" s="11">
        <f t="shared" si="14"/>
        <v>2026</v>
      </c>
      <c r="L134" s="11" t="s">
        <v>25</v>
      </c>
      <c r="M134" s="11" t="s">
        <v>17</v>
      </c>
    </row>
    <row r="135" spans="1:13" x14ac:dyDescent="0.25">
      <c r="A135" s="6">
        <v>46123.291666666664</v>
      </c>
      <c r="B135" s="11">
        <f t="shared" si="11"/>
        <v>4</v>
      </c>
      <c r="C135" s="11">
        <f t="shared" si="12"/>
        <v>15</v>
      </c>
      <c r="D135" s="5" t="s">
        <v>18</v>
      </c>
      <c r="E135" s="11" t="s">
        <v>14</v>
      </c>
      <c r="F135" s="9" t="s">
        <v>15</v>
      </c>
      <c r="G135" s="11">
        <v>1</v>
      </c>
      <c r="J135" s="7">
        <v>0.622</v>
      </c>
      <c r="K135" s="11">
        <f t="shared" si="14"/>
        <v>2026</v>
      </c>
      <c r="L135" s="11" t="s">
        <v>25</v>
      </c>
      <c r="M135" s="11" t="s">
        <v>17</v>
      </c>
    </row>
    <row r="136" spans="1:13" x14ac:dyDescent="0.25">
      <c r="A136" s="6">
        <v>46123.291666666664</v>
      </c>
      <c r="B136" s="11">
        <f t="shared" si="11"/>
        <v>4</v>
      </c>
      <c r="C136" s="11">
        <f t="shared" si="12"/>
        <v>15</v>
      </c>
      <c r="D136" s="5" t="s">
        <v>13</v>
      </c>
      <c r="E136" s="11" t="s">
        <v>14</v>
      </c>
      <c r="F136" s="9" t="s">
        <v>15</v>
      </c>
      <c r="G136" s="11">
        <v>1</v>
      </c>
      <c r="J136" s="7">
        <v>4.3899999999999997</v>
      </c>
      <c r="K136" s="11">
        <f t="shared" si="14"/>
        <v>2026</v>
      </c>
      <c r="L136" s="11" t="s">
        <v>25</v>
      </c>
      <c r="M136" s="11" t="s">
        <v>17</v>
      </c>
    </row>
    <row r="137" spans="1:13" x14ac:dyDescent="0.25">
      <c r="A137" s="6">
        <v>46119.25</v>
      </c>
      <c r="B137" s="11">
        <f t="shared" si="11"/>
        <v>4</v>
      </c>
      <c r="C137" s="11">
        <f t="shared" si="12"/>
        <v>15</v>
      </c>
      <c r="D137" s="5" t="s">
        <v>13</v>
      </c>
      <c r="E137" s="11" t="s">
        <v>14</v>
      </c>
      <c r="F137" s="9" t="s">
        <v>15</v>
      </c>
      <c r="G137" s="11">
        <v>1</v>
      </c>
      <c r="J137" s="7">
        <v>3.198</v>
      </c>
      <c r="K137" s="11">
        <f t="shared" si="14"/>
        <v>2026</v>
      </c>
      <c r="L137" s="11" t="s">
        <v>25</v>
      </c>
      <c r="M137" s="11" t="s">
        <v>17</v>
      </c>
    </row>
    <row r="138" spans="1:13" x14ac:dyDescent="0.25">
      <c r="A138" s="6">
        <v>46123.291666666664</v>
      </c>
      <c r="B138" s="11">
        <f t="shared" si="11"/>
        <v>4</v>
      </c>
      <c r="C138" s="11">
        <f t="shared" si="12"/>
        <v>15</v>
      </c>
      <c r="D138" s="5" t="s">
        <v>13</v>
      </c>
      <c r="E138" s="11" t="s">
        <v>14</v>
      </c>
      <c r="F138" s="9" t="s">
        <v>15</v>
      </c>
      <c r="G138" s="11">
        <v>1</v>
      </c>
      <c r="J138" s="7">
        <v>0.03</v>
      </c>
      <c r="K138" s="11">
        <f t="shared" si="14"/>
        <v>2026</v>
      </c>
      <c r="L138" s="11" t="s">
        <v>25</v>
      </c>
      <c r="M138" s="11" t="s">
        <v>17</v>
      </c>
    </row>
    <row r="139" spans="1:13" x14ac:dyDescent="0.25">
      <c r="A139" s="6">
        <v>46119.25</v>
      </c>
      <c r="B139" s="11">
        <f t="shared" si="11"/>
        <v>4</v>
      </c>
      <c r="C139" s="11">
        <f t="shared" si="12"/>
        <v>15</v>
      </c>
      <c r="D139" s="5" t="s">
        <v>18</v>
      </c>
      <c r="E139" s="11" t="s">
        <v>14</v>
      </c>
      <c r="F139" s="9" t="s">
        <v>15</v>
      </c>
      <c r="G139" s="11">
        <v>1</v>
      </c>
      <c r="J139" s="7">
        <v>0.622</v>
      </c>
      <c r="K139" s="11">
        <f t="shared" si="14"/>
        <v>2026</v>
      </c>
      <c r="L139" s="11" t="s">
        <v>25</v>
      </c>
      <c r="M139" s="11" t="s">
        <v>17</v>
      </c>
    </row>
    <row r="140" spans="1:13" x14ac:dyDescent="0.25">
      <c r="A140" s="6">
        <v>46123.291666666664</v>
      </c>
      <c r="B140" s="11">
        <f t="shared" si="11"/>
        <v>4</v>
      </c>
      <c r="C140" s="11">
        <f t="shared" si="12"/>
        <v>15</v>
      </c>
      <c r="D140" s="5" t="s">
        <v>13</v>
      </c>
      <c r="E140" s="11" t="s">
        <v>14</v>
      </c>
      <c r="F140" s="9" t="s">
        <v>15</v>
      </c>
      <c r="G140" s="11">
        <v>1</v>
      </c>
      <c r="J140" s="7">
        <v>2.5000000000000001E-2</v>
      </c>
      <c r="K140" s="11">
        <f t="shared" si="14"/>
        <v>2026</v>
      </c>
      <c r="L140" s="11" t="s">
        <v>25</v>
      </c>
      <c r="M140" s="11" t="s">
        <v>17</v>
      </c>
    </row>
    <row r="141" spans="1:13" x14ac:dyDescent="0.25">
      <c r="A141" s="6">
        <v>46119.25</v>
      </c>
      <c r="B141" s="11">
        <f t="shared" si="11"/>
        <v>4</v>
      </c>
      <c r="C141" s="11">
        <f t="shared" si="12"/>
        <v>15</v>
      </c>
      <c r="D141" s="5" t="s">
        <v>13</v>
      </c>
      <c r="E141" s="11" t="s">
        <v>14</v>
      </c>
      <c r="F141" s="9" t="s">
        <v>15</v>
      </c>
      <c r="G141" s="11">
        <v>1</v>
      </c>
      <c r="J141" s="7">
        <v>0.622</v>
      </c>
      <c r="K141" s="11">
        <f t="shared" si="14"/>
        <v>2026</v>
      </c>
      <c r="L141" s="11" t="s">
        <v>25</v>
      </c>
      <c r="M141" s="11" t="s">
        <v>17</v>
      </c>
    </row>
    <row r="142" spans="1:13" x14ac:dyDescent="0.25">
      <c r="A142" s="6">
        <v>46119.25</v>
      </c>
      <c r="B142" s="11">
        <f t="shared" si="11"/>
        <v>4</v>
      </c>
      <c r="C142" s="11">
        <f t="shared" si="12"/>
        <v>15</v>
      </c>
      <c r="D142" s="5" t="s">
        <v>18</v>
      </c>
      <c r="E142" s="11" t="s">
        <v>14</v>
      </c>
      <c r="F142" s="9" t="s">
        <v>15</v>
      </c>
      <c r="G142" s="11">
        <v>1</v>
      </c>
      <c r="J142" s="7">
        <v>1.244</v>
      </c>
      <c r="K142" s="11">
        <f t="shared" si="14"/>
        <v>2026</v>
      </c>
      <c r="L142" s="11" t="s">
        <v>25</v>
      </c>
      <c r="M142" s="11" t="s">
        <v>17</v>
      </c>
    </row>
    <row r="143" spans="1:13" x14ac:dyDescent="0.25">
      <c r="A143" s="6">
        <v>46119.25</v>
      </c>
      <c r="B143" s="11">
        <f t="shared" ref="B143:B206" si="15">MONTH(A143)</f>
        <v>4</v>
      </c>
      <c r="C143" s="11">
        <f t="shared" ref="C143:C206" si="16">WEEKNUM(A143)</f>
        <v>15</v>
      </c>
      <c r="D143" s="5" t="s">
        <v>13</v>
      </c>
      <c r="E143" s="11" t="s">
        <v>14</v>
      </c>
      <c r="F143" s="9" t="s">
        <v>15</v>
      </c>
      <c r="G143" s="11">
        <v>1</v>
      </c>
      <c r="J143" s="7">
        <v>5.8460000000000001</v>
      </c>
      <c r="K143" s="11">
        <f t="shared" si="14"/>
        <v>2026</v>
      </c>
      <c r="L143" s="11" t="s">
        <v>25</v>
      </c>
      <c r="M143" s="11" t="s">
        <v>17</v>
      </c>
    </row>
    <row r="144" spans="1:13" x14ac:dyDescent="0.25">
      <c r="A144" s="6">
        <v>46119.25</v>
      </c>
      <c r="B144" s="11">
        <f t="shared" si="15"/>
        <v>4</v>
      </c>
      <c r="C144" s="11">
        <f t="shared" si="16"/>
        <v>15</v>
      </c>
      <c r="D144" s="5" t="s">
        <v>18</v>
      </c>
      <c r="E144" s="11" t="s">
        <v>14</v>
      </c>
      <c r="F144" s="9" t="s">
        <v>15</v>
      </c>
      <c r="G144" s="11">
        <v>1</v>
      </c>
      <c r="J144" s="7">
        <v>15.2</v>
      </c>
      <c r="K144" s="11">
        <f t="shared" ref="K144:K207" si="17">YEAR(A144)</f>
        <v>2026</v>
      </c>
      <c r="L144" s="11" t="s">
        <v>25</v>
      </c>
      <c r="M144" s="11" t="s">
        <v>17</v>
      </c>
    </row>
    <row r="145" spans="1:13" x14ac:dyDescent="0.25">
      <c r="A145" s="6">
        <v>46119.25</v>
      </c>
      <c r="B145" s="11">
        <f t="shared" si="15"/>
        <v>4</v>
      </c>
      <c r="C145" s="11">
        <f t="shared" si="16"/>
        <v>15</v>
      </c>
      <c r="D145" s="5" t="s">
        <v>13</v>
      </c>
      <c r="E145" s="11" t="s">
        <v>14</v>
      </c>
      <c r="F145" s="9" t="s">
        <v>15</v>
      </c>
      <c r="G145" s="11">
        <v>1</v>
      </c>
      <c r="J145" s="7">
        <v>3.9649999999999999</v>
      </c>
      <c r="K145" s="11">
        <f t="shared" si="17"/>
        <v>2026</v>
      </c>
      <c r="L145" s="11" t="s">
        <v>25</v>
      </c>
      <c r="M145" s="11" t="s">
        <v>17</v>
      </c>
    </row>
    <row r="146" spans="1:13" x14ac:dyDescent="0.25">
      <c r="A146" s="6">
        <v>46119.25</v>
      </c>
      <c r="B146" s="11">
        <f t="shared" si="15"/>
        <v>4</v>
      </c>
      <c r="C146" s="11">
        <f t="shared" si="16"/>
        <v>15</v>
      </c>
      <c r="D146" s="5" t="s">
        <v>18</v>
      </c>
      <c r="E146" s="11" t="s">
        <v>14</v>
      </c>
      <c r="F146" s="9" t="s">
        <v>15</v>
      </c>
      <c r="G146" s="11">
        <v>1</v>
      </c>
      <c r="J146" s="7">
        <v>0.438</v>
      </c>
      <c r="K146" s="11">
        <f t="shared" si="17"/>
        <v>2026</v>
      </c>
      <c r="L146" s="11" t="s">
        <v>25</v>
      </c>
      <c r="M146" s="11" t="s">
        <v>17</v>
      </c>
    </row>
    <row r="147" spans="1:13" x14ac:dyDescent="0.25">
      <c r="A147" s="6">
        <v>46119.25</v>
      </c>
      <c r="B147" s="11">
        <f t="shared" si="15"/>
        <v>4</v>
      </c>
      <c r="C147" s="11">
        <f t="shared" si="16"/>
        <v>15</v>
      </c>
      <c r="D147" s="5" t="s">
        <v>18</v>
      </c>
      <c r="E147" s="11" t="s">
        <v>14</v>
      </c>
      <c r="F147" s="9" t="s">
        <v>15</v>
      </c>
      <c r="G147" s="11">
        <v>1</v>
      </c>
      <c r="J147" s="7">
        <v>5.4649999999999999</v>
      </c>
      <c r="K147" s="11">
        <f t="shared" si="17"/>
        <v>2026</v>
      </c>
      <c r="L147" s="11" t="s">
        <v>25</v>
      </c>
      <c r="M147" s="11" t="s">
        <v>17</v>
      </c>
    </row>
    <row r="148" spans="1:13" x14ac:dyDescent="0.25">
      <c r="A148" s="6">
        <v>46119.25</v>
      </c>
      <c r="B148" s="11">
        <f t="shared" si="15"/>
        <v>4</v>
      </c>
      <c r="C148" s="11">
        <f t="shared" si="16"/>
        <v>15</v>
      </c>
      <c r="D148" s="5" t="s">
        <v>18</v>
      </c>
      <c r="E148" s="11" t="s">
        <v>14</v>
      </c>
      <c r="F148" s="9" t="s">
        <v>15</v>
      </c>
      <c r="G148" s="11">
        <v>1</v>
      </c>
      <c r="J148" s="7">
        <v>3.6429999999999998</v>
      </c>
      <c r="K148" s="11">
        <f t="shared" si="17"/>
        <v>2026</v>
      </c>
      <c r="L148" s="11" t="s">
        <v>25</v>
      </c>
      <c r="M148" s="11" t="s">
        <v>17</v>
      </c>
    </row>
    <row r="149" spans="1:13" x14ac:dyDescent="0.25">
      <c r="A149" s="6">
        <v>46119</v>
      </c>
      <c r="B149" s="11">
        <f t="shared" si="15"/>
        <v>4</v>
      </c>
      <c r="C149" s="11">
        <f t="shared" si="16"/>
        <v>15</v>
      </c>
      <c r="D149" s="5" t="s">
        <v>13</v>
      </c>
      <c r="E149" s="11" t="s">
        <v>14</v>
      </c>
      <c r="F149" s="9" t="s">
        <v>22</v>
      </c>
      <c r="G149" s="11">
        <v>1</v>
      </c>
      <c r="J149" s="7">
        <v>13.56</v>
      </c>
      <c r="K149" s="11">
        <f t="shared" si="17"/>
        <v>2026</v>
      </c>
      <c r="L149" s="11" t="s">
        <v>25</v>
      </c>
      <c r="M149" s="11" t="s">
        <v>17</v>
      </c>
    </row>
    <row r="150" spans="1:13" x14ac:dyDescent="0.25">
      <c r="A150" s="6">
        <v>46119</v>
      </c>
      <c r="B150" s="11">
        <f t="shared" si="15"/>
        <v>4</v>
      </c>
      <c r="C150" s="11">
        <f t="shared" si="16"/>
        <v>15</v>
      </c>
      <c r="D150" s="5" t="s">
        <v>13</v>
      </c>
      <c r="E150" s="11" t="s">
        <v>14</v>
      </c>
      <c r="F150" s="9" t="s">
        <v>22</v>
      </c>
      <c r="G150" s="11">
        <v>1</v>
      </c>
      <c r="J150" s="7">
        <v>13.06</v>
      </c>
      <c r="K150" s="11">
        <f t="shared" si="17"/>
        <v>2026</v>
      </c>
      <c r="L150" s="11" t="s">
        <v>25</v>
      </c>
      <c r="M150" s="11" t="s">
        <v>17</v>
      </c>
    </row>
    <row r="151" spans="1:13" x14ac:dyDescent="0.25">
      <c r="A151" s="6">
        <v>46121.958333333336</v>
      </c>
      <c r="B151" s="11">
        <f t="shared" si="15"/>
        <v>4</v>
      </c>
      <c r="C151" s="11">
        <f t="shared" si="16"/>
        <v>15</v>
      </c>
      <c r="D151" s="5" t="s">
        <v>13</v>
      </c>
      <c r="E151" s="11" t="s">
        <v>14</v>
      </c>
      <c r="F151" s="9" t="s">
        <v>15</v>
      </c>
      <c r="G151" s="11">
        <v>1</v>
      </c>
      <c r="J151" s="7">
        <v>3.4289999999999998</v>
      </c>
      <c r="K151" s="11">
        <f t="shared" si="17"/>
        <v>2026</v>
      </c>
      <c r="L151" s="11" t="s">
        <v>25</v>
      </c>
      <c r="M151" s="11" t="s">
        <v>17</v>
      </c>
    </row>
    <row r="152" spans="1:13" x14ac:dyDescent="0.25">
      <c r="A152" s="6">
        <v>46121.958333333336</v>
      </c>
      <c r="B152" s="11">
        <f t="shared" si="15"/>
        <v>4</v>
      </c>
      <c r="C152" s="11">
        <f t="shared" si="16"/>
        <v>15</v>
      </c>
      <c r="D152" s="5" t="s">
        <v>13</v>
      </c>
      <c r="E152" s="11" t="s">
        <v>14</v>
      </c>
      <c r="F152" s="9" t="s">
        <v>15</v>
      </c>
      <c r="G152" s="11">
        <v>1</v>
      </c>
      <c r="J152" s="7">
        <v>16.907</v>
      </c>
      <c r="K152" s="11">
        <f t="shared" si="17"/>
        <v>2026</v>
      </c>
      <c r="L152" s="11" t="s">
        <v>25</v>
      </c>
      <c r="M152" s="11" t="s">
        <v>17</v>
      </c>
    </row>
    <row r="153" spans="1:13" x14ac:dyDescent="0.25">
      <c r="A153" s="6">
        <v>46117.708333333336</v>
      </c>
      <c r="B153" s="11">
        <f t="shared" si="15"/>
        <v>4</v>
      </c>
      <c r="C153" s="11">
        <f t="shared" si="16"/>
        <v>15</v>
      </c>
      <c r="D153" s="5" t="s">
        <v>13</v>
      </c>
      <c r="E153" s="11" t="s">
        <v>14</v>
      </c>
      <c r="F153" s="9" t="s">
        <v>22</v>
      </c>
      <c r="G153" s="11">
        <v>1</v>
      </c>
      <c r="J153" s="7">
        <v>6.1440000000000001</v>
      </c>
      <c r="K153" s="11">
        <f t="shared" si="17"/>
        <v>2026</v>
      </c>
      <c r="L153" s="11" t="s">
        <v>25</v>
      </c>
      <c r="M153" s="11" t="s">
        <v>17</v>
      </c>
    </row>
    <row r="154" spans="1:13" x14ac:dyDescent="0.25">
      <c r="A154" s="6">
        <v>46121.958333333336</v>
      </c>
      <c r="B154" s="11">
        <f t="shared" si="15"/>
        <v>4</v>
      </c>
      <c r="C154" s="11">
        <f t="shared" si="16"/>
        <v>15</v>
      </c>
      <c r="D154" s="5" t="s">
        <v>13</v>
      </c>
      <c r="E154" s="11" t="s">
        <v>14</v>
      </c>
      <c r="F154" s="9" t="s">
        <v>15</v>
      </c>
      <c r="G154" s="11">
        <v>1</v>
      </c>
      <c r="J154" s="7">
        <v>11.196</v>
      </c>
      <c r="K154" s="11">
        <f t="shared" si="17"/>
        <v>2026</v>
      </c>
      <c r="L154" s="11" t="s">
        <v>25</v>
      </c>
      <c r="M154" s="11" t="s">
        <v>17</v>
      </c>
    </row>
    <row r="155" spans="1:13" x14ac:dyDescent="0.25">
      <c r="A155" s="6">
        <v>46121.625</v>
      </c>
      <c r="B155" s="11">
        <f t="shared" si="15"/>
        <v>4</v>
      </c>
      <c r="C155" s="11">
        <f t="shared" si="16"/>
        <v>15</v>
      </c>
      <c r="D155" s="5" t="s">
        <v>13</v>
      </c>
      <c r="E155" s="11" t="s">
        <v>14</v>
      </c>
      <c r="F155" s="9" t="s">
        <v>22</v>
      </c>
      <c r="G155" s="11">
        <v>1</v>
      </c>
      <c r="J155" s="7">
        <v>2.11</v>
      </c>
      <c r="K155" s="11">
        <f t="shared" si="17"/>
        <v>2026</v>
      </c>
      <c r="L155" s="11" t="s">
        <v>25</v>
      </c>
      <c r="M155" s="11" t="s">
        <v>17</v>
      </c>
    </row>
    <row r="156" spans="1:13" x14ac:dyDescent="0.25">
      <c r="A156" s="6">
        <v>46117.5</v>
      </c>
      <c r="B156" s="11">
        <f t="shared" si="15"/>
        <v>4</v>
      </c>
      <c r="C156" s="11">
        <f t="shared" si="16"/>
        <v>15</v>
      </c>
      <c r="D156" s="5" t="s">
        <v>13</v>
      </c>
      <c r="E156" s="11" t="s">
        <v>14</v>
      </c>
      <c r="F156" s="9" t="s">
        <v>22</v>
      </c>
      <c r="G156" s="11">
        <v>1</v>
      </c>
      <c r="J156" s="7">
        <v>0.92200000000000004</v>
      </c>
      <c r="K156" s="11">
        <f t="shared" si="17"/>
        <v>2026</v>
      </c>
      <c r="L156" s="11" t="s">
        <v>25</v>
      </c>
      <c r="M156" s="11" t="s">
        <v>17</v>
      </c>
    </row>
    <row r="157" spans="1:13" x14ac:dyDescent="0.25">
      <c r="A157" s="6">
        <v>46117.5</v>
      </c>
      <c r="B157" s="11">
        <f t="shared" si="15"/>
        <v>4</v>
      </c>
      <c r="C157" s="11">
        <f t="shared" si="16"/>
        <v>15</v>
      </c>
      <c r="D157" s="5" t="s">
        <v>13</v>
      </c>
      <c r="E157" s="11" t="s">
        <v>14</v>
      </c>
      <c r="F157" s="9" t="s">
        <v>22</v>
      </c>
      <c r="G157" s="11">
        <v>1</v>
      </c>
      <c r="J157" s="7">
        <v>0.72</v>
      </c>
      <c r="K157" s="11">
        <f t="shared" si="17"/>
        <v>2026</v>
      </c>
      <c r="L157" s="11" t="s">
        <v>25</v>
      </c>
      <c r="M157" s="11" t="s">
        <v>17</v>
      </c>
    </row>
    <row r="158" spans="1:13" x14ac:dyDescent="0.25">
      <c r="A158" s="6">
        <v>46117.5</v>
      </c>
      <c r="B158" s="11">
        <f t="shared" si="15"/>
        <v>4</v>
      </c>
      <c r="C158" s="11">
        <f t="shared" si="16"/>
        <v>15</v>
      </c>
      <c r="D158" s="5" t="s">
        <v>13</v>
      </c>
      <c r="E158" s="11" t="s">
        <v>14</v>
      </c>
      <c r="F158" s="9" t="s">
        <v>22</v>
      </c>
      <c r="G158" s="11">
        <v>1</v>
      </c>
      <c r="J158" s="7">
        <v>0.76800000000000002</v>
      </c>
      <c r="K158" s="11">
        <f t="shared" si="17"/>
        <v>2026</v>
      </c>
      <c r="L158" s="11" t="s">
        <v>25</v>
      </c>
      <c r="M158" s="11" t="s">
        <v>17</v>
      </c>
    </row>
    <row r="159" spans="1:13" x14ac:dyDescent="0.25">
      <c r="A159" s="6">
        <v>46121.625</v>
      </c>
      <c r="B159" s="11">
        <f t="shared" si="15"/>
        <v>4</v>
      </c>
      <c r="C159" s="11">
        <f t="shared" si="16"/>
        <v>15</v>
      </c>
      <c r="D159" s="5" t="s">
        <v>13</v>
      </c>
      <c r="E159" s="11" t="s">
        <v>14</v>
      </c>
      <c r="F159" s="9" t="s">
        <v>22</v>
      </c>
      <c r="G159" s="11">
        <v>1</v>
      </c>
      <c r="J159" s="7">
        <v>1.48</v>
      </c>
      <c r="K159" s="11">
        <f t="shared" si="17"/>
        <v>2026</v>
      </c>
      <c r="L159" s="11" t="s">
        <v>25</v>
      </c>
      <c r="M159" s="11" t="s">
        <v>17</v>
      </c>
    </row>
    <row r="160" spans="1:13" x14ac:dyDescent="0.25">
      <c r="A160" s="6">
        <v>46121.958333333336</v>
      </c>
      <c r="B160" s="11">
        <f t="shared" si="15"/>
        <v>4</v>
      </c>
      <c r="C160" s="11">
        <f t="shared" si="16"/>
        <v>15</v>
      </c>
      <c r="D160" s="5" t="s">
        <v>13</v>
      </c>
      <c r="E160" s="11" t="s">
        <v>14</v>
      </c>
      <c r="F160" s="9" t="s">
        <v>22</v>
      </c>
      <c r="G160" s="11">
        <v>1</v>
      </c>
      <c r="J160" s="7">
        <v>3.06</v>
      </c>
      <c r="K160" s="11">
        <f t="shared" si="17"/>
        <v>2026</v>
      </c>
      <c r="L160" s="11" t="s">
        <v>25</v>
      </c>
      <c r="M160" s="11" t="s">
        <v>17</v>
      </c>
    </row>
    <row r="161" spans="1:13" x14ac:dyDescent="0.25">
      <c r="A161" s="6">
        <v>46119</v>
      </c>
      <c r="B161" s="11">
        <f t="shared" si="15"/>
        <v>4</v>
      </c>
      <c r="C161" s="11">
        <f t="shared" si="16"/>
        <v>15</v>
      </c>
      <c r="D161" s="5" t="s">
        <v>13</v>
      </c>
      <c r="E161" s="11" t="s">
        <v>14</v>
      </c>
      <c r="F161" s="9" t="s">
        <v>22</v>
      </c>
      <c r="G161" s="11">
        <v>1</v>
      </c>
      <c r="J161" s="7">
        <v>1.361</v>
      </c>
      <c r="K161" s="11">
        <f t="shared" si="17"/>
        <v>2026</v>
      </c>
      <c r="L161" s="11" t="s">
        <v>25</v>
      </c>
      <c r="M161" s="11" t="s">
        <v>17</v>
      </c>
    </row>
    <row r="162" spans="1:13" x14ac:dyDescent="0.25">
      <c r="A162" s="6">
        <v>46123.291666666664</v>
      </c>
      <c r="B162" s="11">
        <f t="shared" si="15"/>
        <v>4</v>
      </c>
      <c r="C162" s="11">
        <f t="shared" si="16"/>
        <v>15</v>
      </c>
      <c r="D162" s="5" t="s">
        <v>13</v>
      </c>
      <c r="E162" s="11" t="s">
        <v>14</v>
      </c>
      <c r="F162" s="9" t="s">
        <v>15</v>
      </c>
      <c r="G162" s="11">
        <v>1</v>
      </c>
      <c r="J162" s="7">
        <v>4.0289999999999999</v>
      </c>
      <c r="K162" s="11">
        <f t="shared" si="17"/>
        <v>2026</v>
      </c>
      <c r="L162" s="11" t="s">
        <v>25</v>
      </c>
      <c r="M162" s="11" t="s">
        <v>17</v>
      </c>
    </row>
    <row r="163" spans="1:13" x14ac:dyDescent="0.25">
      <c r="A163" s="6">
        <v>46119.25</v>
      </c>
      <c r="B163" s="11">
        <f t="shared" si="15"/>
        <v>4</v>
      </c>
      <c r="C163" s="11">
        <f t="shared" si="16"/>
        <v>15</v>
      </c>
      <c r="D163" s="5" t="s">
        <v>13</v>
      </c>
      <c r="E163" s="11" t="s">
        <v>14</v>
      </c>
      <c r="F163" s="9" t="s">
        <v>15</v>
      </c>
      <c r="G163" s="11">
        <v>1</v>
      </c>
      <c r="J163" s="7">
        <v>2.7589999999999999</v>
      </c>
      <c r="K163" s="11">
        <f t="shared" si="17"/>
        <v>2026</v>
      </c>
      <c r="L163" s="11" t="s">
        <v>25</v>
      </c>
      <c r="M163" s="11" t="s">
        <v>17</v>
      </c>
    </row>
    <row r="164" spans="1:13" x14ac:dyDescent="0.25">
      <c r="A164" s="6">
        <v>46120</v>
      </c>
      <c r="B164" s="11">
        <f t="shared" si="15"/>
        <v>4</v>
      </c>
      <c r="C164" s="11">
        <f t="shared" si="16"/>
        <v>15</v>
      </c>
      <c r="D164" s="5" t="s">
        <v>21</v>
      </c>
      <c r="E164" s="11" t="s">
        <v>14</v>
      </c>
      <c r="F164" s="9" t="s">
        <v>22</v>
      </c>
      <c r="G164" s="11">
        <v>1</v>
      </c>
      <c r="J164" s="7">
        <v>1.1200000000000001</v>
      </c>
      <c r="K164" s="11">
        <f t="shared" si="17"/>
        <v>2026</v>
      </c>
      <c r="L164" s="11" t="s">
        <v>25</v>
      </c>
      <c r="M164" s="11" t="s">
        <v>17</v>
      </c>
    </row>
    <row r="165" spans="1:13" x14ac:dyDescent="0.25">
      <c r="A165" s="6">
        <v>46119.208333333336</v>
      </c>
      <c r="B165" s="11">
        <f t="shared" si="15"/>
        <v>4</v>
      </c>
      <c r="C165" s="11">
        <f t="shared" si="16"/>
        <v>15</v>
      </c>
      <c r="D165" s="5" t="s">
        <v>18</v>
      </c>
      <c r="E165" s="11" t="s">
        <v>14</v>
      </c>
      <c r="F165" s="9" t="s">
        <v>15</v>
      </c>
      <c r="G165" s="11">
        <v>1</v>
      </c>
      <c r="J165" s="7">
        <v>1.28</v>
      </c>
      <c r="K165" s="11">
        <f t="shared" si="17"/>
        <v>2026</v>
      </c>
      <c r="L165" s="11" t="s">
        <v>25</v>
      </c>
      <c r="M165" s="11" t="s">
        <v>17</v>
      </c>
    </row>
    <row r="166" spans="1:13" x14ac:dyDescent="0.25">
      <c r="A166" s="6">
        <v>46119.25</v>
      </c>
      <c r="B166" s="11">
        <f t="shared" si="15"/>
        <v>4</v>
      </c>
      <c r="C166" s="11">
        <f t="shared" si="16"/>
        <v>15</v>
      </c>
      <c r="D166" s="5" t="s">
        <v>13</v>
      </c>
      <c r="E166" s="11" t="s">
        <v>14</v>
      </c>
      <c r="F166" s="9" t="s">
        <v>15</v>
      </c>
      <c r="G166" s="11">
        <v>1</v>
      </c>
      <c r="J166" s="7">
        <v>2.286</v>
      </c>
      <c r="K166" s="11">
        <f t="shared" si="17"/>
        <v>2026</v>
      </c>
      <c r="L166" s="11" t="s">
        <v>25</v>
      </c>
      <c r="M166" s="11" t="s">
        <v>17</v>
      </c>
    </row>
    <row r="167" spans="1:13" x14ac:dyDescent="0.25">
      <c r="A167" s="6">
        <v>46120.125</v>
      </c>
      <c r="B167" s="11">
        <f t="shared" si="15"/>
        <v>4</v>
      </c>
      <c r="C167" s="11">
        <f t="shared" si="16"/>
        <v>15</v>
      </c>
      <c r="D167" s="5" t="s">
        <v>13</v>
      </c>
      <c r="E167" s="11" t="s">
        <v>14</v>
      </c>
      <c r="F167" s="9" t="s">
        <v>15</v>
      </c>
      <c r="G167" s="11">
        <v>1</v>
      </c>
      <c r="J167" s="7">
        <v>4.3460000000000001</v>
      </c>
      <c r="K167" s="11">
        <f t="shared" si="17"/>
        <v>2026</v>
      </c>
      <c r="L167" s="11" t="s">
        <v>25</v>
      </c>
      <c r="M167" s="11" t="s">
        <v>17</v>
      </c>
    </row>
    <row r="168" spans="1:13" x14ac:dyDescent="0.25">
      <c r="A168" s="6">
        <v>46117</v>
      </c>
      <c r="B168" s="11">
        <f t="shared" si="15"/>
        <v>4</v>
      </c>
      <c r="C168" s="11">
        <f t="shared" si="16"/>
        <v>15</v>
      </c>
      <c r="D168" s="5" t="s">
        <v>13</v>
      </c>
      <c r="E168" s="11" t="s">
        <v>14</v>
      </c>
      <c r="F168" s="9" t="s">
        <v>22</v>
      </c>
      <c r="G168" s="11">
        <v>1</v>
      </c>
      <c r="J168" s="7">
        <v>6.72</v>
      </c>
      <c r="K168" s="11">
        <f t="shared" si="17"/>
        <v>2026</v>
      </c>
      <c r="L168" s="11" t="s">
        <v>25</v>
      </c>
      <c r="M168" s="11" t="s">
        <v>17</v>
      </c>
    </row>
    <row r="169" spans="1:13" x14ac:dyDescent="0.25">
      <c r="A169" s="6">
        <v>46117</v>
      </c>
      <c r="B169" s="11">
        <f t="shared" si="15"/>
        <v>4</v>
      </c>
      <c r="C169" s="11">
        <f t="shared" si="16"/>
        <v>15</v>
      </c>
      <c r="D169" s="5" t="s">
        <v>13</v>
      </c>
      <c r="E169" s="11" t="s">
        <v>14</v>
      </c>
      <c r="F169" s="9" t="s">
        <v>22</v>
      </c>
      <c r="G169" s="11">
        <v>1</v>
      </c>
      <c r="J169" s="7">
        <v>6.3979999999999997</v>
      </c>
      <c r="K169" s="11">
        <f t="shared" si="17"/>
        <v>2026</v>
      </c>
      <c r="L169" s="11" t="s">
        <v>25</v>
      </c>
      <c r="M169" s="11" t="s">
        <v>17</v>
      </c>
    </row>
    <row r="170" spans="1:13" x14ac:dyDescent="0.25">
      <c r="A170" s="6">
        <v>46117</v>
      </c>
      <c r="B170" s="11">
        <f t="shared" si="15"/>
        <v>4</v>
      </c>
      <c r="C170" s="11">
        <f t="shared" si="16"/>
        <v>15</v>
      </c>
      <c r="D170" s="5" t="s">
        <v>13</v>
      </c>
      <c r="E170" s="11" t="s">
        <v>14</v>
      </c>
      <c r="F170" s="9" t="s">
        <v>22</v>
      </c>
      <c r="G170" s="11">
        <v>1</v>
      </c>
      <c r="J170" s="7">
        <v>0.96</v>
      </c>
      <c r="K170" s="11">
        <f t="shared" si="17"/>
        <v>2026</v>
      </c>
      <c r="L170" s="11" t="s">
        <v>25</v>
      </c>
      <c r="M170" s="11" t="s">
        <v>17</v>
      </c>
    </row>
    <row r="171" spans="1:13" x14ac:dyDescent="0.25">
      <c r="A171" s="6">
        <v>46118</v>
      </c>
      <c r="B171" s="11">
        <f t="shared" si="15"/>
        <v>4</v>
      </c>
      <c r="C171" s="11">
        <f t="shared" si="16"/>
        <v>15</v>
      </c>
      <c r="D171" s="5" t="s">
        <v>19</v>
      </c>
      <c r="E171" s="11" t="s">
        <v>14</v>
      </c>
      <c r="F171" s="9" t="s">
        <v>22</v>
      </c>
      <c r="G171" s="11">
        <v>1</v>
      </c>
      <c r="J171" s="7">
        <v>1.7090000000000001</v>
      </c>
      <c r="K171" s="11">
        <f t="shared" si="17"/>
        <v>2026</v>
      </c>
      <c r="L171" s="11" t="s">
        <v>25</v>
      </c>
      <c r="M171" s="11" t="s">
        <v>17</v>
      </c>
    </row>
    <row r="172" spans="1:13" x14ac:dyDescent="0.25">
      <c r="A172" s="6">
        <v>46119</v>
      </c>
      <c r="B172" s="11">
        <f t="shared" si="15"/>
        <v>4</v>
      </c>
      <c r="C172" s="11">
        <f t="shared" si="16"/>
        <v>15</v>
      </c>
      <c r="D172" s="5" t="s">
        <v>18</v>
      </c>
      <c r="E172" s="11" t="s">
        <v>14</v>
      </c>
      <c r="F172" s="9" t="s">
        <v>22</v>
      </c>
      <c r="G172" s="11">
        <v>1</v>
      </c>
      <c r="J172" s="7">
        <v>1.619</v>
      </c>
      <c r="K172" s="11">
        <f t="shared" si="17"/>
        <v>2026</v>
      </c>
      <c r="L172" s="11" t="s">
        <v>25</v>
      </c>
      <c r="M172" s="11" t="s">
        <v>17</v>
      </c>
    </row>
    <row r="173" spans="1:13" x14ac:dyDescent="0.25">
      <c r="A173" s="6">
        <v>46119</v>
      </c>
      <c r="B173" s="11">
        <f t="shared" si="15"/>
        <v>4</v>
      </c>
      <c r="C173" s="11">
        <f t="shared" si="16"/>
        <v>15</v>
      </c>
      <c r="D173" s="5" t="s">
        <v>18</v>
      </c>
      <c r="E173" s="11" t="s">
        <v>14</v>
      </c>
      <c r="F173" s="9" t="s">
        <v>22</v>
      </c>
      <c r="G173" s="11">
        <v>1</v>
      </c>
      <c r="J173" s="7">
        <v>6.0410000000000004</v>
      </c>
      <c r="K173" s="11">
        <f t="shared" si="17"/>
        <v>2026</v>
      </c>
      <c r="L173" s="11" t="s">
        <v>25</v>
      </c>
      <c r="M173" s="11" t="s">
        <v>17</v>
      </c>
    </row>
    <row r="174" spans="1:13" x14ac:dyDescent="0.25">
      <c r="A174" s="6">
        <v>46120.125</v>
      </c>
      <c r="B174" s="11">
        <f t="shared" si="15"/>
        <v>4</v>
      </c>
      <c r="C174" s="11">
        <f t="shared" si="16"/>
        <v>15</v>
      </c>
      <c r="D174" s="5" t="s">
        <v>18</v>
      </c>
      <c r="E174" s="11" t="s">
        <v>14</v>
      </c>
      <c r="F174" s="9" t="s">
        <v>15</v>
      </c>
      <c r="G174" s="11">
        <v>1</v>
      </c>
      <c r="J174" s="7">
        <v>8.9369999999999994</v>
      </c>
      <c r="K174" s="11">
        <f t="shared" si="17"/>
        <v>2026</v>
      </c>
      <c r="L174" s="11" t="s">
        <v>25</v>
      </c>
      <c r="M174" s="11" t="s">
        <v>17</v>
      </c>
    </row>
    <row r="175" spans="1:13" x14ac:dyDescent="0.25">
      <c r="A175" s="6">
        <v>46120.125</v>
      </c>
      <c r="B175" s="11">
        <f t="shared" si="15"/>
        <v>4</v>
      </c>
      <c r="C175" s="11">
        <f t="shared" si="16"/>
        <v>15</v>
      </c>
      <c r="D175" s="5" t="s">
        <v>13</v>
      </c>
      <c r="E175" s="11" t="s">
        <v>14</v>
      </c>
      <c r="F175" s="9" t="s">
        <v>15</v>
      </c>
      <c r="G175" s="11">
        <v>1</v>
      </c>
      <c r="J175" s="7">
        <v>0.69299999999999995</v>
      </c>
      <c r="K175" s="11">
        <f t="shared" si="17"/>
        <v>2026</v>
      </c>
      <c r="L175" s="11" t="s">
        <v>25</v>
      </c>
      <c r="M175" s="11" t="s">
        <v>17</v>
      </c>
    </row>
    <row r="176" spans="1:13" x14ac:dyDescent="0.25">
      <c r="A176" s="6">
        <v>46120.125</v>
      </c>
      <c r="B176" s="11">
        <f t="shared" si="15"/>
        <v>4</v>
      </c>
      <c r="C176" s="11">
        <f t="shared" si="16"/>
        <v>15</v>
      </c>
      <c r="D176" s="5" t="s">
        <v>18</v>
      </c>
      <c r="E176" s="11" t="s">
        <v>14</v>
      </c>
      <c r="F176" s="9" t="s">
        <v>15</v>
      </c>
      <c r="G176" s="11">
        <v>1</v>
      </c>
      <c r="J176" s="7">
        <v>0.71799999999999997</v>
      </c>
      <c r="K176" s="11">
        <f t="shared" si="17"/>
        <v>2026</v>
      </c>
      <c r="L176" s="11" t="s">
        <v>25</v>
      </c>
      <c r="M176" s="11" t="s">
        <v>17</v>
      </c>
    </row>
    <row r="177" spans="1:13" x14ac:dyDescent="0.25">
      <c r="A177" s="6">
        <v>46120.125</v>
      </c>
      <c r="B177" s="11">
        <f t="shared" si="15"/>
        <v>4</v>
      </c>
      <c r="C177" s="11">
        <f t="shared" si="16"/>
        <v>15</v>
      </c>
      <c r="D177" s="5" t="s">
        <v>13</v>
      </c>
      <c r="E177" s="11" t="s">
        <v>14</v>
      </c>
      <c r="F177" s="9" t="s">
        <v>15</v>
      </c>
      <c r="G177" s="11">
        <v>1</v>
      </c>
      <c r="J177" s="7">
        <v>1.109</v>
      </c>
      <c r="K177" s="11">
        <f t="shared" si="17"/>
        <v>2026</v>
      </c>
      <c r="L177" s="11" t="s">
        <v>25</v>
      </c>
      <c r="M177" s="11" t="s">
        <v>17</v>
      </c>
    </row>
    <row r="178" spans="1:13" x14ac:dyDescent="0.25">
      <c r="A178" s="6">
        <v>46120.125</v>
      </c>
      <c r="B178" s="11">
        <f t="shared" si="15"/>
        <v>4</v>
      </c>
      <c r="C178" s="11">
        <f t="shared" si="16"/>
        <v>15</v>
      </c>
      <c r="D178" s="5" t="s">
        <v>18</v>
      </c>
      <c r="E178" s="11" t="s">
        <v>14</v>
      </c>
      <c r="F178" s="9" t="s">
        <v>15</v>
      </c>
      <c r="G178" s="11">
        <v>1</v>
      </c>
      <c r="J178" s="7">
        <v>0.81499999999999995</v>
      </c>
      <c r="K178" s="11">
        <f t="shared" si="17"/>
        <v>2026</v>
      </c>
      <c r="L178" s="11" t="s">
        <v>25</v>
      </c>
      <c r="M178" s="11" t="s">
        <v>17</v>
      </c>
    </row>
    <row r="179" spans="1:13" x14ac:dyDescent="0.25">
      <c r="A179" s="6">
        <v>46120.125</v>
      </c>
      <c r="B179" s="11">
        <f t="shared" si="15"/>
        <v>4</v>
      </c>
      <c r="C179" s="11">
        <f t="shared" si="16"/>
        <v>15</v>
      </c>
      <c r="D179" s="5" t="s">
        <v>13</v>
      </c>
      <c r="E179" s="11" t="s">
        <v>14</v>
      </c>
      <c r="F179" s="9" t="s">
        <v>15</v>
      </c>
      <c r="G179" s="11">
        <v>1</v>
      </c>
      <c r="J179" s="7">
        <v>1.982</v>
      </c>
      <c r="K179" s="11">
        <f t="shared" si="17"/>
        <v>2026</v>
      </c>
      <c r="L179" s="11" t="s">
        <v>25</v>
      </c>
      <c r="M179" s="11" t="s">
        <v>17</v>
      </c>
    </row>
    <row r="180" spans="1:13" x14ac:dyDescent="0.25">
      <c r="A180" s="6">
        <v>46118</v>
      </c>
      <c r="B180" s="11">
        <f t="shared" si="15"/>
        <v>4</v>
      </c>
      <c r="C180" s="11">
        <f t="shared" si="16"/>
        <v>15</v>
      </c>
      <c r="D180" s="5" t="s">
        <v>18</v>
      </c>
      <c r="E180" s="11" t="s">
        <v>14</v>
      </c>
      <c r="F180" s="9" t="s">
        <v>22</v>
      </c>
      <c r="G180" s="11">
        <v>1</v>
      </c>
      <c r="J180" s="7">
        <v>1.173</v>
      </c>
      <c r="K180" s="11">
        <f t="shared" si="17"/>
        <v>2026</v>
      </c>
      <c r="L180" s="11" t="s">
        <v>25</v>
      </c>
      <c r="M180" s="11" t="s">
        <v>17</v>
      </c>
    </row>
    <row r="181" spans="1:13" x14ac:dyDescent="0.25">
      <c r="A181" s="6">
        <v>46123.291666666664</v>
      </c>
      <c r="B181" s="11">
        <f t="shared" si="15"/>
        <v>4</v>
      </c>
      <c r="C181" s="11">
        <f t="shared" si="16"/>
        <v>15</v>
      </c>
      <c r="D181" s="5" t="s">
        <v>13</v>
      </c>
      <c r="E181" s="11" t="s">
        <v>14</v>
      </c>
      <c r="F181" s="9" t="s">
        <v>15</v>
      </c>
      <c r="G181" s="11">
        <v>1</v>
      </c>
      <c r="J181" s="7">
        <v>5.15</v>
      </c>
      <c r="K181" s="11">
        <f t="shared" si="17"/>
        <v>2026</v>
      </c>
      <c r="L181" s="11" t="s">
        <v>25</v>
      </c>
      <c r="M181" s="11" t="s">
        <v>17</v>
      </c>
    </row>
    <row r="182" spans="1:13" x14ac:dyDescent="0.25">
      <c r="A182" s="6">
        <v>46123.291666666664</v>
      </c>
      <c r="B182" s="11">
        <f t="shared" si="15"/>
        <v>4</v>
      </c>
      <c r="C182" s="11">
        <f t="shared" si="16"/>
        <v>15</v>
      </c>
      <c r="D182" s="5" t="s">
        <v>13</v>
      </c>
      <c r="E182" s="11" t="s">
        <v>14</v>
      </c>
      <c r="F182" s="9" t="s">
        <v>15</v>
      </c>
      <c r="G182" s="11">
        <v>1</v>
      </c>
      <c r="J182" s="7">
        <v>0.22</v>
      </c>
      <c r="K182" s="11">
        <f t="shared" si="17"/>
        <v>2026</v>
      </c>
      <c r="L182" s="11" t="s">
        <v>25</v>
      </c>
      <c r="M182" s="11" t="s">
        <v>17</v>
      </c>
    </row>
    <row r="183" spans="1:13" x14ac:dyDescent="0.25">
      <c r="A183" s="6">
        <v>46123.291666666664</v>
      </c>
      <c r="B183" s="11">
        <f t="shared" si="15"/>
        <v>4</v>
      </c>
      <c r="C183" s="11">
        <f t="shared" si="16"/>
        <v>15</v>
      </c>
      <c r="D183" s="5" t="s">
        <v>13</v>
      </c>
      <c r="E183" s="11" t="s">
        <v>14</v>
      </c>
      <c r="F183" s="9" t="s">
        <v>15</v>
      </c>
      <c r="G183" s="11">
        <v>1</v>
      </c>
      <c r="J183" s="7">
        <v>10.52</v>
      </c>
      <c r="K183" s="11">
        <f t="shared" si="17"/>
        <v>2026</v>
      </c>
      <c r="L183" s="11" t="s">
        <v>25</v>
      </c>
      <c r="M183" s="11" t="s">
        <v>17</v>
      </c>
    </row>
    <row r="184" spans="1:13" x14ac:dyDescent="0.25">
      <c r="A184" s="6">
        <v>46119</v>
      </c>
      <c r="B184" s="11">
        <f t="shared" si="15"/>
        <v>4</v>
      </c>
      <c r="C184" s="11">
        <f t="shared" si="16"/>
        <v>15</v>
      </c>
      <c r="D184" s="5" t="s">
        <v>20</v>
      </c>
      <c r="E184" s="11" t="s">
        <v>14</v>
      </c>
      <c r="F184" s="9" t="s">
        <v>22</v>
      </c>
      <c r="G184" s="11">
        <v>1</v>
      </c>
      <c r="J184" s="7">
        <v>0.5</v>
      </c>
      <c r="K184" s="11">
        <f t="shared" si="17"/>
        <v>2026</v>
      </c>
      <c r="L184" s="11" t="s">
        <v>25</v>
      </c>
      <c r="M184" s="11" t="s">
        <v>17</v>
      </c>
    </row>
    <row r="185" spans="1:13" x14ac:dyDescent="0.25">
      <c r="A185" s="6">
        <v>46119.154166666667</v>
      </c>
      <c r="B185" s="11">
        <f t="shared" si="15"/>
        <v>4</v>
      </c>
      <c r="C185" s="11">
        <f t="shared" si="16"/>
        <v>15</v>
      </c>
      <c r="D185" s="5" t="s">
        <v>13</v>
      </c>
      <c r="E185" s="11" t="s">
        <v>14</v>
      </c>
      <c r="F185" s="9" t="s">
        <v>22</v>
      </c>
      <c r="G185" s="11">
        <v>1</v>
      </c>
      <c r="J185" s="7">
        <v>1.8</v>
      </c>
      <c r="K185" s="11">
        <f t="shared" si="17"/>
        <v>2026</v>
      </c>
      <c r="L185" s="11" t="s">
        <v>25</v>
      </c>
      <c r="M185" s="11" t="s">
        <v>17</v>
      </c>
    </row>
    <row r="186" spans="1:13" x14ac:dyDescent="0.25">
      <c r="A186" s="6">
        <v>46119.154166666667</v>
      </c>
      <c r="B186" s="11">
        <f t="shared" si="15"/>
        <v>4</v>
      </c>
      <c r="C186" s="11">
        <f t="shared" si="16"/>
        <v>15</v>
      </c>
      <c r="D186" s="5" t="s">
        <v>13</v>
      </c>
      <c r="E186" s="11" t="s">
        <v>14</v>
      </c>
      <c r="F186" s="9" t="s">
        <v>22</v>
      </c>
      <c r="G186" s="11">
        <v>1</v>
      </c>
      <c r="J186" s="7">
        <v>1.02</v>
      </c>
      <c r="K186" s="11">
        <f t="shared" si="17"/>
        <v>2026</v>
      </c>
      <c r="L186" s="11" t="s">
        <v>25</v>
      </c>
      <c r="M186" s="11" t="s">
        <v>17</v>
      </c>
    </row>
    <row r="187" spans="1:13" x14ac:dyDescent="0.25">
      <c r="A187" s="6">
        <v>46123.541666666664</v>
      </c>
      <c r="B187" s="11">
        <f t="shared" si="15"/>
        <v>4</v>
      </c>
      <c r="C187" s="11">
        <f t="shared" si="16"/>
        <v>15</v>
      </c>
      <c r="D187" s="5" t="s">
        <v>13</v>
      </c>
      <c r="E187" s="11" t="s">
        <v>14</v>
      </c>
      <c r="F187" s="9" t="s">
        <v>15</v>
      </c>
      <c r="G187" s="11">
        <v>1</v>
      </c>
      <c r="J187" s="7">
        <v>3.3839999999999999</v>
      </c>
      <c r="K187" s="11">
        <f t="shared" si="17"/>
        <v>2026</v>
      </c>
      <c r="L187" s="11" t="s">
        <v>25</v>
      </c>
      <c r="M187" s="11" t="s">
        <v>17</v>
      </c>
    </row>
    <row r="188" spans="1:13" x14ac:dyDescent="0.25">
      <c r="A188" s="6">
        <v>46121</v>
      </c>
      <c r="B188" s="11">
        <f t="shared" si="15"/>
        <v>4</v>
      </c>
      <c r="C188" s="11">
        <f t="shared" si="16"/>
        <v>15</v>
      </c>
      <c r="D188" s="5" t="s">
        <v>20</v>
      </c>
      <c r="E188" s="11" t="s">
        <v>14</v>
      </c>
      <c r="F188" s="9" t="s">
        <v>22</v>
      </c>
      <c r="G188" s="11">
        <v>1</v>
      </c>
      <c r="J188" s="7">
        <v>3.13</v>
      </c>
      <c r="K188" s="11">
        <f t="shared" si="17"/>
        <v>2026</v>
      </c>
      <c r="L188" s="11" t="s">
        <v>25</v>
      </c>
      <c r="M188" s="11" t="s">
        <v>17</v>
      </c>
    </row>
    <row r="189" spans="1:13" x14ac:dyDescent="0.25">
      <c r="A189" s="6">
        <v>46122</v>
      </c>
      <c r="B189" s="11">
        <f t="shared" si="15"/>
        <v>4</v>
      </c>
      <c r="C189" s="11">
        <f t="shared" si="16"/>
        <v>15</v>
      </c>
      <c r="D189" s="5" t="s">
        <v>20</v>
      </c>
      <c r="E189" s="11" t="s">
        <v>14</v>
      </c>
      <c r="F189" s="9" t="s">
        <v>22</v>
      </c>
      <c r="G189" s="11">
        <v>1</v>
      </c>
      <c r="J189" s="7">
        <v>1</v>
      </c>
      <c r="K189" s="11">
        <f t="shared" si="17"/>
        <v>2026</v>
      </c>
      <c r="L189" s="11" t="s">
        <v>25</v>
      </c>
      <c r="M189" s="11" t="s">
        <v>17</v>
      </c>
    </row>
    <row r="190" spans="1:13" x14ac:dyDescent="0.25">
      <c r="A190" s="6">
        <v>46123.541666666664</v>
      </c>
      <c r="B190" s="11">
        <f t="shared" si="15"/>
        <v>4</v>
      </c>
      <c r="C190" s="11">
        <f t="shared" si="16"/>
        <v>15</v>
      </c>
      <c r="D190" s="5" t="s">
        <v>13</v>
      </c>
      <c r="E190" s="11" t="s">
        <v>14</v>
      </c>
      <c r="F190" s="9" t="s">
        <v>15</v>
      </c>
      <c r="G190" s="11">
        <v>1</v>
      </c>
      <c r="J190" s="7">
        <v>8.3460000000000001</v>
      </c>
      <c r="K190" s="11">
        <f t="shared" si="17"/>
        <v>2026</v>
      </c>
      <c r="L190" s="11" t="s">
        <v>25</v>
      </c>
      <c r="M190" s="11" t="s">
        <v>17</v>
      </c>
    </row>
    <row r="191" spans="1:13" x14ac:dyDescent="0.25">
      <c r="A191" s="6">
        <v>46120.125</v>
      </c>
      <c r="B191" s="11">
        <f t="shared" si="15"/>
        <v>4</v>
      </c>
      <c r="C191" s="11">
        <f t="shared" si="16"/>
        <v>15</v>
      </c>
      <c r="D191" s="5" t="s">
        <v>18</v>
      </c>
      <c r="E191" s="11" t="s">
        <v>14</v>
      </c>
      <c r="F191" s="9" t="s">
        <v>15</v>
      </c>
      <c r="G191" s="11">
        <v>1</v>
      </c>
      <c r="J191" s="7">
        <v>7.11</v>
      </c>
      <c r="K191" s="11">
        <f t="shared" si="17"/>
        <v>2026</v>
      </c>
      <c r="L191" s="11" t="s">
        <v>25</v>
      </c>
      <c r="M191" s="11" t="s">
        <v>17</v>
      </c>
    </row>
    <row r="192" spans="1:13" x14ac:dyDescent="0.25">
      <c r="A192" s="6">
        <v>46119</v>
      </c>
      <c r="B192" s="11">
        <f t="shared" si="15"/>
        <v>4</v>
      </c>
      <c r="C192" s="11">
        <f t="shared" si="16"/>
        <v>15</v>
      </c>
      <c r="D192" s="5" t="s">
        <v>19</v>
      </c>
      <c r="E192" s="11" t="s">
        <v>14</v>
      </c>
      <c r="F192" s="9" t="s">
        <v>22</v>
      </c>
      <c r="G192" s="11">
        <v>1</v>
      </c>
      <c r="J192" s="7">
        <v>0.29299999999999998</v>
      </c>
      <c r="K192" s="11">
        <f t="shared" si="17"/>
        <v>2026</v>
      </c>
      <c r="L192" s="11" t="s">
        <v>25</v>
      </c>
      <c r="M192" s="11" t="s">
        <v>17</v>
      </c>
    </row>
    <row r="193" spans="1:13" x14ac:dyDescent="0.25">
      <c r="A193" s="6">
        <v>46123.291666666664</v>
      </c>
      <c r="B193" s="11">
        <f t="shared" si="15"/>
        <v>4</v>
      </c>
      <c r="C193" s="11">
        <f t="shared" si="16"/>
        <v>15</v>
      </c>
      <c r="D193" s="5" t="s">
        <v>18</v>
      </c>
      <c r="E193" s="11" t="s">
        <v>14</v>
      </c>
      <c r="F193" s="9" t="s">
        <v>22</v>
      </c>
      <c r="G193" s="11">
        <v>1</v>
      </c>
      <c r="J193" s="7">
        <v>4.3890000000000002</v>
      </c>
      <c r="K193" s="11">
        <f t="shared" si="17"/>
        <v>2026</v>
      </c>
      <c r="L193" s="11" t="s">
        <v>25</v>
      </c>
      <c r="M193" s="11" t="s">
        <v>17</v>
      </c>
    </row>
    <row r="194" spans="1:13" x14ac:dyDescent="0.25">
      <c r="A194" s="6">
        <v>46123.042361111111</v>
      </c>
      <c r="B194" s="11">
        <f t="shared" si="15"/>
        <v>4</v>
      </c>
      <c r="C194" s="11">
        <f t="shared" si="16"/>
        <v>15</v>
      </c>
      <c r="D194" s="5" t="s">
        <v>13</v>
      </c>
      <c r="E194" s="11" t="s">
        <v>14</v>
      </c>
      <c r="F194" s="9" t="s">
        <v>22</v>
      </c>
      <c r="G194" s="11">
        <v>1</v>
      </c>
      <c r="J194" s="7">
        <v>3.0169999999999999</v>
      </c>
      <c r="K194" s="11">
        <f t="shared" si="17"/>
        <v>2026</v>
      </c>
      <c r="L194" s="11" t="s">
        <v>25</v>
      </c>
      <c r="M194" s="11" t="s">
        <v>17</v>
      </c>
    </row>
    <row r="195" spans="1:13" x14ac:dyDescent="0.25">
      <c r="A195" s="6">
        <v>46123.617361111108</v>
      </c>
      <c r="B195" s="11">
        <f t="shared" si="15"/>
        <v>4</v>
      </c>
      <c r="C195" s="11">
        <f t="shared" si="16"/>
        <v>15</v>
      </c>
      <c r="D195" s="5" t="s">
        <v>13</v>
      </c>
      <c r="E195" s="11" t="s">
        <v>14</v>
      </c>
      <c r="F195" s="9" t="s">
        <v>22</v>
      </c>
      <c r="G195" s="11">
        <v>1</v>
      </c>
      <c r="J195" s="7">
        <v>1.4730000000000001</v>
      </c>
      <c r="K195" s="11">
        <f t="shared" si="17"/>
        <v>2026</v>
      </c>
      <c r="L195" s="11" t="s">
        <v>25</v>
      </c>
      <c r="M195" s="11" t="s">
        <v>17</v>
      </c>
    </row>
    <row r="196" spans="1:13" x14ac:dyDescent="0.25">
      <c r="A196" s="6">
        <v>46119</v>
      </c>
      <c r="B196" s="11">
        <f t="shared" si="15"/>
        <v>4</v>
      </c>
      <c r="C196" s="11">
        <f t="shared" si="16"/>
        <v>15</v>
      </c>
      <c r="D196" s="5" t="s">
        <v>18</v>
      </c>
      <c r="E196" s="11" t="s">
        <v>14</v>
      </c>
      <c r="F196" s="9" t="s">
        <v>22</v>
      </c>
      <c r="G196" s="11">
        <v>1</v>
      </c>
      <c r="J196" s="7">
        <v>4.9000000000000004</v>
      </c>
      <c r="K196" s="11">
        <f t="shared" si="17"/>
        <v>2026</v>
      </c>
      <c r="L196" s="11" t="s">
        <v>25</v>
      </c>
      <c r="M196" s="11" t="s">
        <v>17</v>
      </c>
    </row>
    <row r="197" spans="1:13" x14ac:dyDescent="0.25">
      <c r="A197" s="6">
        <v>46123.291666666664</v>
      </c>
      <c r="B197" s="11">
        <f t="shared" si="15"/>
        <v>4</v>
      </c>
      <c r="C197" s="11">
        <f t="shared" si="16"/>
        <v>15</v>
      </c>
      <c r="D197" s="5" t="s">
        <v>13</v>
      </c>
      <c r="E197" s="11" t="s">
        <v>14</v>
      </c>
      <c r="F197" s="9" t="s">
        <v>15</v>
      </c>
      <c r="G197" s="11">
        <v>1</v>
      </c>
      <c r="J197" s="7">
        <v>6.048</v>
      </c>
      <c r="K197" s="11">
        <f t="shared" si="17"/>
        <v>2026</v>
      </c>
      <c r="L197" s="11" t="s">
        <v>25</v>
      </c>
      <c r="M197" s="11" t="s">
        <v>17</v>
      </c>
    </row>
    <row r="198" spans="1:13" x14ac:dyDescent="0.25">
      <c r="A198" s="6">
        <v>46119.25</v>
      </c>
      <c r="B198" s="11">
        <f t="shared" si="15"/>
        <v>4</v>
      </c>
      <c r="C198" s="11">
        <f t="shared" si="16"/>
        <v>15</v>
      </c>
      <c r="D198" s="5" t="s">
        <v>13</v>
      </c>
      <c r="E198" s="11" t="s">
        <v>14</v>
      </c>
      <c r="F198" s="9" t="s">
        <v>15</v>
      </c>
      <c r="G198" s="11">
        <v>1</v>
      </c>
      <c r="J198" s="7">
        <v>5.61</v>
      </c>
      <c r="K198" s="11">
        <f t="shared" si="17"/>
        <v>2026</v>
      </c>
      <c r="L198" s="11" t="s">
        <v>25</v>
      </c>
      <c r="M198" s="11" t="s">
        <v>17</v>
      </c>
    </row>
    <row r="199" spans="1:13" x14ac:dyDescent="0.25">
      <c r="A199" s="6">
        <v>46119</v>
      </c>
      <c r="B199" s="11">
        <f t="shared" si="15"/>
        <v>4</v>
      </c>
      <c r="C199" s="11">
        <f t="shared" si="16"/>
        <v>15</v>
      </c>
      <c r="D199" s="5" t="s">
        <v>18</v>
      </c>
      <c r="E199" s="11" t="s">
        <v>14</v>
      </c>
      <c r="F199" s="9" t="s">
        <v>22</v>
      </c>
      <c r="G199" s="11">
        <v>1</v>
      </c>
      <c r="J199" s="7">
        <v>3.0110000000000001</v>
      </c>
      <c r="K199" s="11">
        <f t="shared" si="17"/>
        <v>2026</v>
      </c>
      <c r="L199" s="11" t="s">
        <v>25</v>
      </c>
      <c r="M199" s="11" t="s">
        <v>17</v>
      </c>
    </row>
    <row r="200" spans="1:13" x14ac:dyDescent="0.25">
      <c r="A200" s="6">
        <v>46120.125</v>
      </c>
      <c r="B200" s="11">
        <f t="shared" si="15"/>
        <v>4</v>
      </c>
      <c r="C200" s="11">
        <f t="shared" si="16"/>
        <v>15</v>
      </c>
      <c r="D200" s="5" t="s">
        <v>21</v>
      </c>
      <c r="E200" s="11" t="s">
        <v>14</v>
      </c>
      <c r="F200" s="9" t="s">
        <v>15</v>
      </c>
      <c r="G200" s="11">
        <v>1</v>
      </c>
      <c r="J200" s="7">
        <v>0.36099999999999999</v>
      </c>
      <c r="K200" s="11">
        <f t="shared" si="17"/>
        <v>2026</v>
      </c>
      <c r="L200" s="11" t="s">
        <v>25</v>
      </c>
      <c r="M200" s="11" t="s">
        <v>17</v>
      </c>
    </row>
    <row r="201" spans="1:13" x14ac:dyDescent="0.25">
      <c r="A201" s="6">
        <v>46120.125</v>
      </c>
      <c r="B201" s="11">
        <f t="shared" si="15"/>
        <v>4</v>
      </c>
      <c r="C201" s="11">
        <f t="shared" si="16"/>
        <v>15</v>
      </c>
      <c r="D201" s="5" t="s">
        <v>21</v>
      </c>
      <c r="E201" s="11" t="s">
        <v>14</v>
      </c>
      <c r="F201" s="9" t="s">
        <v>15</v>
      </c>
      <c r="G201" s="11">
        <v>1</v>
      </c>
      <c r="J201" s="7">
        <v>9.4410000000000007</v>
      </c>
      <c r="K201" s="11">
        <f t="shared" si="17"/>
        <v>2026</v>
      </c>
      <c r="L201" s="11" t="s">
        <v>25</v>
      </c>
      <c r="M201" s="11" t="s">
        <v>17</v>
      </c>
    </row>
    <row r="202" spans="1:13" x14ac:dyDescent="0.25">
      <c r="A202" s="6">
        <v>46120.916666666664</v>
      </c>
      <c r="B202" s="11">
        <f t="shared" si="15"/>
        <v>4</v>
      </c>
      <c r="C202" s="11">
        <f t="shared" si="16"/>
        <v>15</v>
      </c>
      <c r="D202" s="5" t="s">
        <v>13</v>
      </c>
      <c r="E202" s="11" t="s">
        <v>14</v>
      </c>
      <c r="F202" s="9" t="s">
        <v>15</v>
      </c>
      <c r="G202" s="11">
        <v>1</v>
      </c>
      <c r="J202" s="7">
        <v>3.278</v>
      </c>
      <c r="K202" s="11">
        <f t="shared" si="17"/>
        <v>2026</v>
      </c>
      <c r="L202" s="11" t="s">
        <v>25</v>
      </c>
      <c r="M202" s="11" t="s">
        <v>17</v>
      </c>
    </row>
    <row r="203" spans="1:13" x14ac:dyDescent="0.25">
      <c r="A203" s="6">
        <v>46120.916666666664</v>
      </c>
      <c r="B203" s="11">
        <f t="shared" si="15"/>
        <v>4</v>
      </c>
      <c r="C203" s="11">
        <f t="shared" si="16"/>
        <v>15</v>
      </c>
      <c r="D203" s="5" t="s">
        <v>13</v>
      </c>
      <c r="E203" s="11" t="s">
        <v>14</v>
      </c>
      <c r="F203" s="9" t="s">
        <v>15</v>
      </c>
      <c r="G203" s="11">
        <v>1</v>
      </c>
      <c r="J203" s="7">
        <v>6.94</v>
      </c>
      <c r="K203" s="11">
        <f t="shared" si="17"/>
        <v>2026</v>
      </c>
      <c r="L203" s="11" t="s">
        <v>25</v>
      </c>
      <c r="M203" s="11" t="s">
        <v>17</v>
      </c>
    </row>
    <row r="204" spans="1:13" x14ac:dyDescent="0.25">
      <c r="A204" s="6">
        <v>46120.916666666664</v>
      </c>
      <c r="B204" s="11">
        <f t="shared" si="15"/>
        <v>4</v>
      </c>
      <c r="C204" s="11">
        <f t="shared" si="16"/>
        <v>15</v>
      </c>
      <c r="D204" s="5" t="s">
        <v>13</v>
      </c>
      <c r="E204" s="11" t="s">
        <v>14</v>
      </c>
      <c r="F204" s="9" t="s">
        <v>15</v>
      </c>
      <c r="G204" s="11">
        <v>1</v>
      </c>
      <c r="J204" s="7">
        <v>1.3819999999999999</v>
      </c>
      <c r="K204" s="11">
        <f t="shared" si="17"/>
        <v>2026</v>
      </c>
      <c r="L204" s="11" t="s">
        <v>25</v>
      </c>
      <c r="M204" s="11" t="s">
        <v>17</v>
      </c>
    </row>
    <row r="205" spans="1:13" x14ac:dyDescent="0.25">
      <c r="A205" s="6">
        <v>46120.916666666664</v>
      </c>
      <c r="B205" s="11">
        <f t="shared" si="15"/>
        <v>4</v>
      </c>
      <c r="C205" s="11">
        <f t="shared" si="16"/>
        <v>15</v>
      </c>
      <c r="D205" s="5" t="s">
        <v>13</v>
      </c>
      <c r="E205" s="11" t="s">
        <v>14</v>
      </c>
      <c r="F205" s="9" t="s">
        <v>15</v>
      </c>
      <c r="G205" s="11">
        <v>1</v>
      </c>
      <c r="J205" s="7">
        <v>4.774</v>
      </c>
      <c r="K205" s="11">
        <f t="shared" si="17"/>
        <v>2026</v>
      </c>
      <c r="L205" s="11" t="s">
        <v>25</v>
      </c>
      <c r="M205" s="11" t="s">
        <v>17</v>
      </c>
    </row>
    <row r="206" spans="1:13" x14ac:dyDescent="0.25">
      <c r="A206" s="6">
        <v>46120.916666666664</v>
      </c>
      <c r="B206" s="11">
        <f t="shared" si="15"/>
        <v>4</v>
      </c>
      <c r="C206" s="11">
        <f t="shared" si="16"/>
        <v>15</v>
      </c>
      <c r="D206" s="5" t="s">
        <v>13</v>
      </c>
      <c r="E206" s="11" t="s">
        <v>14</v>
      </c>
      <c r="F206" s="9" t="s">
        <v>15</v>
      </c>
      <c r="G206" s="11">
        <v>1</v>
      </c>
      <c r="J206" s="7">
        <v>1.323</v>
      </c>
      <c r="K206" s="11">
        <f t="shared" si="17"/>
        <v>2026</v>
      </c>
      <c r="L206" s="11" t="s">
        <v>25</v>
      </c>
      <c r="M206" s="11" t="s">
        <v>17</v>
      </c>
    </row>
    <row r="207" spans="1:13" x14ac:dyDescent="0.25">
      <c r="A207" s="6">
        <v>46120.125</v>
      </c>
      <c r="B207" s="11">
        <f t="shared" ref="B207:B270" si="18">MONTH(A207)</f>
        <v>4</v>
      </c>
      <c r="C207" s="11">
        <f t="shared" ref="C207:C270" si="19">WEEKNUM(A207)</f>
        <v>15</v>
      </c>
      <c r="D207" s="5" t="s">
        <v>13</v>
      </c>
      <c r="E207" s="11" t="s">
        <v>14</v>
      </c>
      <c r="F207" s="9" t="s">
        <v>15</v>
      </c>
      <c r="G207" s="11">
        <v>1</v>
      </c>
      <c r="J207" s="7">
        <v>0.71399999999999997</v>
      </c>
      <c r="K207" s="11">
        <f t="shared" si="17"/>
        <v>2026</v>
      </c>
      <c r="L207" s="11" t="s">
        <v>25</v>
      </c>
      <c r="M207" s="11" t="s">
        <v>17</v>
      </c>
    </row>
    <row r="208" spans="1:13" x14ac:dyDescent="0.25">
      <c r="A208" s="6">
        <v>46120.125</v>
      </c>
      <c r="B208" s="11">
        <f t="shared" si="18"/>
        <v>4</v>
      </c>
      <c r="C208" s="11">
        <f t="shared" si="19"/>
        <v>15</v>
      </c>
      <c r="D208" s="5" t="s">
        <v>13</v>
      </c>
      <c r="E208" s="11" t="s">
        <v>14</v>
      </c>
      <c r="F208" s="9" t="s">
        <v>15</v>
      </c>
      <c r="G208" s="11">
        <v>1</v>
      </c>
      <c r="J208" s="7">
        <v>0.60199999999999998</v>
      </c>
      <c r="K208" s="11">
        <f t="shared" ref="K208:K271" si="20">YEAR(A208)</f>
        <v>2026</v>
      </c>
      <c r="L208" s="11" t="s">
        <v>25</v>
      </c>
      <c r="M208" s="11" t="s">
        <v>17</v>
      </c>
    </row>
    <row r="209" spans="1:13" x14ac:dyDescent="0.25">
      <c r="A209" s="6">
        <v>46122</v>
      </c>
      <c r="B209" s="11">
        <f t="shared" si="18"/>
        <v>4</v>
      </c>
      <c r="C209" s="11">
        <f t="shared" si="19"/>
        <v>15</v>
      </c>
      <c r="D209" s="5" t="s">
        <v>18</v>
      </c>
      <c r="E209" s="11" t="s">
        <v>14</v>
      </c>
      <c r="F209" s="9" t="s">
        <v>22</v>
      </c>
      <c r="G209" s="11">
        <v>1</v>
      </c>
      <c r="J209" s="7">
        <v>6.6509999999999998</v>
      </c>
      <c r="K209" s="11">
        <f t="shared" si="20"/>
        <v>2026</v>
      </c>
      <c r="L209" s="11" t="s">
        <v>25</v>
      </c>
      <c r="M209" s="11" t="s">
        <v>17</v>
      </c>
    </row>
    <row r="210" spans="1:13" x14ac:dyDescent="0.25">
      <c r="A210" s="6">
        <v>46123.291666666664</v>
      </c>
      <c r="B210" s="11">
        <f t="shared" si="18"/>
        <v>4</v>
      </c>
      <c r="C210" s="11">
        <f t="shared" si="19"/>
        <v>15</v>
      </c>
      <c r="D210" s="5" t="s">
        <v>18</v>
      </c>
      <c r="E210" s="11" t="s">
        <v>14</v>
      </c>
      <c r="F210" s="9" t="s">
        <v>15</v>
      </c>
      <c r="G210" s="11">
        <v>1</v>
      </c>
      <c r="J210" s="7">
        <v>2.0099999999999998</v>
      </c>
      <c r="K210" s="11">
        <f t="shared" si="20"/>
        <v>2026</v>
      </c>
      <c r="L210" s="11" t="s">
        <v>25</v>
      </c>
      <c r="M210" s="11" t="s">
        <v>17</v>
      </c>
    </row>
    <row r="211" spans="1:13" x14ac:dyDescent="0.25">
      <c r="A211" s="6">
        <v>46123.291666666664</v>
      </c>
      <c r="B211" s="11">
        <f t="shared" si="18"/>
        <v>4</v>
      </c>
      <c r="C211" s="11">
        <f t="shared" si="19"/>
        <v>15</v>
      </c>
      <c r="D211" s="5" t="s">
        <v>13</v>
      </c>
      <c r="E211" s="11" t="s">
        <v>14</v>
      </c>
      <c r="F211" s="9" t="s">
        <v>15</v>
      </c>
      <c r="G211" s="11">
        <v>1</v>
      </c>
      <c r="J211" s="7">
        <v>8.26</v>
      </c>
      <c r="K211" s="11">
        <f t="shared" si="20"/>
        <v>2026</v>
      </c>
      <c r="L211" s="11" t="s">
        <v>25</v>
      </c>
      <c r="M211" s="11" t="s">
        <v>17</v>
      </c>
    </row>
    <row r="212" spans="1:13" x14ac:dyDescent="0.25">
      <c r="A212" s="6">
        <v>46119.166666666664</v>
      </c>
      <c r="B212" s="11">
        <f t="shared" si="18"/>
        <v>4</v>
      </c>
      <c r="C212" s="11">
        <f t="shared" si="19"/>
        <v>15</v>
      </c>
      <c r="D212" s="5" t="s">
        <v>18</v>
      </c>
      <c r="E212" s="11" t="s">
        <v>14</v>
      </c>
      <c r="F212" s="9" t="s">
        <v>22</v>
      </c>
      <c r="G212" s="11">
        <v>1</v>
      </c>
      <c r="J212" s="7">
        <v>1.641</v>
      </c>
      <c r="K212" s="11">
        <f t="shared" si="20"/>
        <v>2026</v>
      </c>
      <c r="L212" s="11" t="s">
        <v>25</v>
      </c>
      <c r="M212" s="11" t="s">
        <v>17</v>
      </c>
    </row>
    <row r="213" spans="1:13" x14ac:dyDescent="0.25">
      <c r="A213" s="6">
        <v>46121.125</v>
      </c>
      <c r="B213" s="11">
        <f t="shared" si="18"/>
        <v>4</v>
      </c>
      <c r="C213" s="11">
        <f t="shared" si="19"/>
        <v>15</v>
      </c>
      <c r="D213" s="5" t="s">
        <v>19</v>
      </c>
      <c r="E213" s="11" t="s">
        <v>14</v>
      </c>
      <c r="F213" s="9" t="s">
        <v>22</v>
      </c>
      <c r="G213" s="11">
        <v>1</v>
      </c>
      <c r="J213" s="7">
        <v>3.2410000000000001</v>
      </c>
      <c r="K213" s="11">
        <f t="shared" si="20"/>
        <v>2026</v>
      </c>
      <c r="L213" s="11" t="s">
        <v>25</v>
      </c>
      <c r="M213" s="11" t="s">
        <v>17</v>
      </c>
    </row>
    <row r="214" spans="1:13" x14ac:dyDescent="0.25">
      <c r="A214" s="6">
        <v>46121</v>
      </c>
      <c r="B214" s="11">
        <f t="shared" si="18"/>
        <v>4</v>
      </c>
      <c r="C214" s="11">
        <f t="shared" si="19"/>
        <v>15</v>
      </c>
      <c r="D214" s="5" t="s">
        <v>19</v>
      </c>
      <c r="E214" s="11" t="s">
        <v>14</v>
      </c>
      <c r="F214" s="9" t="s">
        <v>22</v>
      </c>
      <c r="G214" s="11">
        <v>1</v>
      </c>
      <c r="J214" s="7">
        <v>10.962</v>
      </c>
      <c r="K214" s="11">
        <f t="shared" si="20"/>
        <v>2026</v>
      </c>
      <c r="L214" s="11" t="s">
        <v>25</v>
      </c>
      <c r="M214" s="11" t="s">
        <v>17</v>
      </c>
    </row>
    <row r="215" spans="1:13" x14ac:dyDescent="0.25">
      <c r="A215" s="6">
        <v>46123.541666666664</v>
      </c>
      <c r="B215" s="11">
        <f t="shared" si="18"/>
        <v>4</v>
      </c>
      <c r="C215" s="11">
        <f t="shared" si="19"/>
        <v>15</v>
      </c>
      <c r="D215" s="5" t="s">
        <v>18</v>
      </c>
      <c r="E215" s="11" t="s">
        <v>14</v>
      </c>
      <c r="F215" s="9" t="s">
        <v>15</v>
      </c>
      <c r="G215" s="11">
        <v>1</v>
      </c>
      <c r="J215" s="7">
        <v>5.5679999999999996</v>
      </c>
      <c r="K215" s="11">
        <f t="shared" si="20"/>
        <v>2026</v>
      </c>
      <c r="L215" s="11" t="s">
        <v>25</v>
      </c>
      <c r="M215" s="11" t="s">
        <v>17</v>
      </c>
    </row>
    <row r="216" spans="1:13" x14ac:dyDescent="0.25">
      <c r="A216" s="6">
        <v>46123.541666666664</v>
      </c>
      <c r="B216" s="11">
        <f t="shared" si="18"/>
        <v>4</v>
      </c>
      <c r="C216" s="11">
        <f t="shared" si="19"/>
        <v>15</v>
      </c>
      <c r="D216" s="5" t="s">
        <v>13</v>
      </c>
      <c r="E216" s="11" t="s">
        <v>14</v>
      </c>
      <c r="F216" s="9" t="s">
        <v>15</v>
      </c>
      <c r="G216" s="11">
        <v>1</v>
      </c>
      <c r="J216" s="7">
        <v>0.69599999999999995</v>
      </c>
      <c r="K216" s="11">
        <f t="shared" si="20"/>
        <v>2026</v>
      </c>
      <c r="L216" s="11" t="s">
        <v>25</v>
      </c>
      <c r="M216" s="11" t="s">
        <v>17</v>
      </c>
    </row>
    <row r="217" spans="1:13" x14ac:dyDescent="0.25">
      <c r="A217" s="6">
        <v>46123.541666666664</v>
      </c>
      <c r="B217" s="11">
        <f t="shared" si="18"/>
        <v>4</v>
      </c>
      <c r="C217" s="11">
        <f t="shared" si="19"/>
        <v>15</v>
      </c>
      <c r="D217" s="5" t="s">
        <v>13</v>
      </c>
      <c r="E217" s="11" t="s">
        <v>14</v>
      </c>
      <c r="F217" s="9" t="s">
        <v>15</v>
      </c>
      <c r="G217" s="11">
        <v>1</v>
      </c>
      <c r="J217" s="7">
        <v>1.4990000000000001</v>
      </c>
      <c r="K217" s="11">
        <f t="shared" si="20"/>
        <v>2026</v>
      </c>
      <c r="L217" s="11" t="s">
        <v>25</v>
      </c>
      <c r="M217" s="11" t="s">
        <v>17</v>
      </c>
    </row>
    <row r="218" spans="1:13" x14ac:dyDescent="0.25">
      <c r="A218" s="6">
        <v>46123.541666666664</v>
      </c>
      <c r="B218" s="11">
        <f t="shared" si="18"/>
        <v>4</v>
      </c>
      <c r="C218" s="11">
        <f t="shared" si="19"/>
        <v>15</v>
      </c>
      <c r="D218" s="5" t="s">
        <v>13</v>
      </c>
      <c r="E218" s="11" t="s">
        <v>14</v>
      </c>
      <c r="F218" s="9" t="s">
        <v>15</v>
      </c>
      <c r="G218" s="11">
        <v>1</v>
      </c>
      <c r="J218" s="7">
        <v>1.3240000000000001</v>
      </c>
      <c r="K218" s="11">
        <f t="shared" si="20"/>
        <v>2026</v>
      </c>
      <c r="L218" s="11" t="s">
        <v>25</v>
      </c>
      <c r="M218" s="11" t="s">
        <v>17</v>
      </c>
    </row>
    <row r="219" spans="1:13" x14ac:dyDescent="0.25">
      <c r="A219" s="6">
        <v>46119.166666666664</v>
      </c>
      <c r="B219" s="11">
        <f t="shared" si="18"/>
        <v>4</v>
      </c>
      <c r="C219" s="11">
        <f t="shared" si="19"/>
        <v>15</v>
      </c>
      <c r="D219" s="5" t="s">
        <v>13</v>
      </c>
      <c r="E219" s="11" t="s">
        <v>14</v>
      </c>
      <c r="F219" s="9" t="s">
        <v>22</v>
      </c>
      <c r="G219" s="11">
        <v>1</v>
      </c>
      <c r="J219" s="7">
        <v>0.71</v>
      </c>
      <c r="K219" s="11">
        <f t="shared" si="20"/>
        <v>2026</v>
      </c>
      <c r="L219" s="11" t="s">
        <v>25</v>
      </c>
      <c r="M219" s="11" t="s">
        <v>17</v>
      </c>
    </row>
    <row r="220" spans="1:13" x14ac:dyDescent="0.25">
      <c r="A220" s="6">
        <v>46119</v>
      </c>
      <c r="B220" s="11">
        <f t="shared" si="18"/>
        <v>4</v>
      </c>
      <c r="C220" s="11">
        <f t="shared" si="19"/>
        <v>15</v>
      </c>
      <c r="D220" s="5" t="s">
        <v>13</v>
      </c>
      <c r="E220" s="11" t="s">
        <v>14</v>
      </c>
      <c r="F220" s="9" t="s">
        <v>22</v>
      </c>
      <c r="G220" s="11">
        <v>1</v>
      </c>
      <c r="J220" s="7">
        <v>3.4159999999999999</v>
      </c>
      <c r="K220" s="11">
        <f t="shared" si="20"/>
        <v>2026</v>
      </c>
      <c r="L220" s="11" t="s">
        <v>25</v>
      </c>
      <c r="M220" s="11" t="s">
        <v>17</v>
      </c>
    </row>
    <row r="221" spans="1:13" x14ac:dyDescent="0.25">
      <c r="A221" s="6">
        <v>46119</v>
      </c>
      <c r="B221" s="11">
        <f t="shared" si="18"/>
        <v>4</v>
      </c>
      <c r="C221" s="11">
        <f t="shared" si="19"/>
        <v>15</v>
      </c>
      <c r="D221" s="5" t="s">
        <v>18</v>
      </c>
      <c r="E221" s="11" t="s">
        <v>14</v>
      </c>
      <c r="F221" s="9" t="s">
        <v>22</v>
      </c>
      <c r="G221" s="11">
        <v>1</v>
      </c>
      <c r="J221" s="7">
        <v>1.7749999999999999</v>
      </c>
      <c r="K221" s="11">
        <f t="shared" si="20"/>
        <v>2026</v>
      </c>
      <c r="L221" s="11" t="s">
        <v>25</v>
      </c>
      <c r="M221" s="11" t="s">
        <v>17</v>
      </c>
    </row>
    <row r="222" spans="1:13" x14ac:dyDescent="0.25">
      <c r="A222" s="6">
        <v>46119</v>
      </c>
      <c r="B222" s="11">
        <f t="shared" si="18"/>
        <v>4</v>
      </c>
      <c r="C222" s="11">
        <f t="shared" si="19"/>
        <v>15</v>
      </c>
      <c r="D222" s="5" t="s">
        <v>18</v>
      </c>
      <c r="E222" s="11" t="s">
        <v>14</v>
      </c>
      <c r="F222" s="9" t="s">
        <v>22</v>
      </c>
      <c r="G222" s="11">
        <v>1</v>
      </c>
      <c r="J222" s="7">
        <v>0.499</v>
      </c>
      <c r="K222" s="11">
        <f t="shared" si="20"/>
        <v>2026</v>
      </c>
      <c r="L222" s="11" t="s">
        <v>25</v>
      </c>
      <c r="M222" s="11" t="s">
        <v>17</v>
      </c>
    </row>
    <row r="223" spans="1:13" x14ac:dyDescent="0.25">
      <c r="A223" s="6">
        <v>46119</v>
      </c>
      <c r="B223" s="11">
        <f t="shared" si="18"/>
        <v>4</v>
      </c>
      <c r="C223" s="11">
        <f t="shared" si="19"/>
        <v>15</v>
      </c>
      <c r="D223" s="5" t="s">
        <v>18</v>
      </c>
      <c r="E223" s="11" t="s">
        <v>14</v>
      </c>
      <c r="F223" s="9" t="s">
        <v>22</v>
      </c>
      <c r="G223" s="11">
        <v>1</v>
      </c>
      <c r="J223" s="7">
        <v>2.87</v>
      </c>
      <c r="K223" s="11">
        <f t="shared" si="20"/>
        <v>2026</v>
      </c>
      <c r="L223" s="11" t="s">
        <v>25</v>
      </c>
      <c r="M223" s="11" t="s">
        <v>17</v>
      </c>
    </row>
    <row r="224" spans="1:13" x14ac:dyDescent="0.25">
      <c r="A224" s="6">
        <v>46119</v>
      </c>
      <c r="B224" s="11">
        <f t="shared" si="18"/>
        <v>4</v>
      </c>
      <c r="C224" s="11">
        <f t="shared" si="19"/>
        <v>15</v>
      </c>
      <c r="D224" s="5" t="s">
        <v>18</v>
      </c>
      <c r="E224" s="11" t="s">
        <v>14</v>
      </c>
      <c r="F224" s="9" t="s">
        <v>22</v>
      </c>
      <c r="G224" s="11">
        <v>1</v>
      </c>
      <c r="J224" s="7">
        <v>2.87</v>
      </c>
      <c r="K224" s="11">
        <f t="shared" si="20"/>
        <v>2026</v>
      </c>
      <c r="L224" s="11" t="s">
        <v>25</v>
      </c>
      <c r="M224" s="11" t="s">
        <v>17</v>
      </c>
    </row>
    <row r="225" spans="1:13" x14ac:dyDescent="0.25">
      <c r="A225" s="6">
        <v>46121.958333333336</v>
      </c>
      <c r="B225" s="11">
        <f t="shared" si="18"/>
        <v>4</v>
      </c>
      <c r="C225" s="11">
        <f t="shared" si="19"/>
        <v>15</v>
      </c>
      <c r="D225" s="5" t="s">
        <v>13</v>
      </c>
      <c r="E225" s="11" t="s">
        <v>14</v>
      </c>
      <c r="F225" s="9" t="s">
        <v>15</v>
      </c>
      <c r="G225" s="11">
        <v>1</v>
      </c>
      <c r="J225" s="7">
        <v>1.5209999999999999</v>
      </c>
      <c r="K225" s="11">
        <f t="shared" si="20"/>
        <v>2026</v>
      </c>
      <c r="L225" s="11" t="s">
        <v>25</v>
      </c>
      <c r="M225" s="11" t="s">
        <v>17</v>
      </c>
    </row>
    <row r="226" spans="1:13" x14ac:dyDescent="0.25">
      <c r="A226" s="6">
        <v>46118</v>
      </c>
      <c r="B226" s="11">
        <f t="shared" si="18"/>
        <v>4</v>
      </c>
      <c r="C226" s="11">
        <f t="shared" si="19"/>
        <v>15</v>
      </c>
      <c r="D226" s="5" t="s">
        <v>20</v>
      </c>
      <c r="E226" s="11" t="s">
        <v>14</v>
      </c>
      <c r="F226" s="9" t="s">
        <v>22</v>
      </c>
      <c r="G226" s="11">
        <v>1</v>
      </c>
      <c r="J226" s="7">
        <v>4.476</v>
      </c>
      <c r="K226" s="11">
        <f t="shared" si="20"/>
        <v>2026</v>
      </c>
      <c r="L226" s="11" t="s">
        <v>25</v>
      </c>
      <c r="M226" s="11" t="s">
        <v>17</v>
      </c>
    </row>
    <row r="227" spans="1:13" x14ac:dyDescent="0.25">
      <c r="A227" s="6">
        <v>46118</v>
      </c>
      <c r="B227" s="11">
        <f t="shared" si="18"/>
        <v>4</v>
      </c>
      <c r="C227" s="11">
        <f t="shared" si="19"/>
        <v>15</v>
      </c>
      <c r="D227" s="5" t="s">
        <v>19</v>
      </c>
      <c r="E227" s="11" t="s">
        <v>14</v>
      </c>
      <c r="F227" s="9" t="s">
        <v>22</v>
      </c>
      <c r="G227" s="11">
        <v>1</v>
      </c>
      <c r="J227" s="7">
        <v>9.9719999999999995</v>
      </c>
      <c r="K227" s="11">
        <f t="shared" si="20"/>
        <v>2026</v>
      </c>
      <c r="L227" s="11" t="s">
        <v>25</v>
      </c>
      <c r="M227" s="11" t="s">
        <v>17</v>
      </c>
    </row>
    <row r="228" spans="1:13" x14ac:dyDescent="0.25">
      <c r="A228" s="6">
        <v>46123.291666666664</v>
      </c>
      <c r="B228" s="11">
        <f t="shared" si="18"/>
        <v>4</v>
      </c>
      <c r="C228" s="11">
        <f t="shared" si="19"/>
        <v>15</v>
      </c>
      <c r="D228" s="5" t="s">
        <v>13</v>
      </c>
      <c r="E228" s="11" t="s">
        <v>14</v>
      </c>
      <c r="F228" s="9" t="s">
        <v>15</v>
      </c>
      <c r="G228" s="11">
        <v>1</v>
      </c>
      <c r="J228" s="7">
        <v>0.17</v>
      </c>
      <c r="K228" s="11">
        <f t="shared" si="20"/>
        <v>2026</v>
      </c>
      <c r="L228" s="11" t="s">
        <v>25</v>
      </c>
      <c r="M228" s="11" t="s">
        <v>17</v>
      </c>
    </row>
    <row r="229" spans="1:13" x14ac:dyDescent="0.25">
      <c r="A229" s="6">
        <v>46119.25</v>
      </c>
      <c r="B229" s="11">
        <f t="shared" si="18"/>
        <v>4</v>
      </c>
      <c r="C229" s="11">
        <f t="shared" si="19"/>
        <v>15</v>
      </c>
      <c r="D229" s="5" t="s">
        <v>13</v>
      </c>
      <c r="E229" s="11" t="s">
        <v>14</v>
      </c>
      <c r="F229" s="9" t="s">
        <v>15</v>
      </c>
      <c r="G229" s="11">
        <v>1</v>
      </c>
      <c r="J229" s="7">
        <v>0.22</v>
      </c>
      <c r="K229" s="11">
        <f t="shared" si="20"/>
        <v>2026</v>
      </c>
      <c r="L229" s="11" t="s">
        <v>25</v>
      </c>
      <c r="M229" s="11" t="s">
        <v>17</v>
      </c>
    </row>
    <row r="230" spans="1:13" x14ac:dyDescent="0.25">
      <c r="A230" s="6">
        <v>46119.25</v>
      </c>
      <c r="B230" s="11">
        <f t="shared" si="18"/>
        <v>4</v>
      </c>
      <c r="C230" s="11">
        <f t="shared" si="19"/>
        <v>15</v>
      </c>
      <c r="D230" s="5" t="s">
        <v>13</v>
      </c>
      <c r="E230" s="11" t="s">
        <v>14</v>
      </c>
      <c r="F230" s="9" t="s">
        <v>15</v>
      </c>
      <c r="G230" s="11">
        <v>1</v>
      </c>
      <c r="J230" s="7">
        <v>12.24</v>
      </c>
      <c r="K230" s="11">
        <f t="shared" si="20"/>
        <v>2026</v>
      </c>
      <c r="L230" s="11" t="s">
        <v>25</v>
      </c>
      <c r="M230" s="11" t="s">
        <v>17</v>
      </c>
    </row>
    <row r="231" spans="1:13" x14ac:dyDescent="0.25">
      <c r="A231" s="6">
        <v>46123.541666666664</v>
      </c>
      <c r="B231" s="11">
        <f t="shared" si="18"/>
        <v>4</v>
      </c>
      <c r="C231" s="11">
        <f t="shared" si="19"/>
        <v>15</v>
      </c>
      <c r="D231" s="5" t="s">
        <v>18</v>
      </c>
      <c r="E231" s="11" t="s">
        <v>14</v>
      </c>
      <c r="F231" s="9" t="s">
        <v>15</v>
      </c>
      <c r="G231" s="11">
        <v>1</v>
      </c>
      <c r="J231" s="7">
        <v>17.984999999999999</v>
      </c>
      <c r="K231" s="11">
        <f t="shared" si="20"/>
        <v>2026</v>
      </c>
      <c r="L231" s="11" t="s">
        <v>25</v>
      </c>
      <c r="M231" s="11" t="s">
        <v>17</v>
      </c>
    </row>
    <row r="232" spans="1:13" x14ac:dyDescent="0.25">
      <c r="A232" s="6">
        <v>46123.541666666664</v>
      </c>
      <c r="B232" s="11">
        <f t="shared" si="18"/>
        <v>4</v>
      </c>
      <c r="C232" s="11">
        <f t="shared" si="19"/>
        <v>15</v>
      </c>
      <c r="D232" s="5" t="s">
        <v>18</v>
      </c>
      <c r="E232" s="11" t="s">
        <v>14</v>
      </c>
      <c r="F232" s="9" t="s">
        <v>15</v>
      </c>
      <c r="G232" s="11">
        <v>1</v>
      </c>
      <c r="J232" s="7">
        <v>10.939</v>
      </c>
      <c r="K232" s="11">
        <f t="shared" si="20"/>
        <v>2026</v>
      </c>
      <c r="L232" s="11" t="s">
        <v>25</v>
      </c>
      <c r="M232" s="11" t="s">
        <v>17</v>
      </c>
    </row>
    <row r="233" spans="1:13" x14ac:dyDescent="0.25">
      <c r="A233" s="6">
        <v>46119.208333333336</v>
      </c>
      <c r="B233" s="11">
        <f t="shared" si="18"/>
        <v>4</v>
      </c>
      <c r="C233" s="11">
        <f t="shared" si="19"/>
        <v>15</v>
      </c>
      <c r="D233" s="5" t="s">
        <v>18</v>
      </c>
      <c r="E233" s="11" t="s">
        <v>14</v>
      </c>
      <c r="F233" s="9" t="s">
        <v>15</v>
      </c>
      <c r="G233" s="11">
        <v>1</v>
      </c>
      <c r="J233" s="7">
        <v>1.095</v>
      </c>
      <c r="K233" s="11">
        <f t="shared" si="20"/>
        <v>2026</v>
      </c>
      <c r="L233" s="11" t="s">
        <v>25</v>
      </c>
      <c r="M233" s="11" t="s">
        <v>17</v>
      </c>
    </row>
    <row r="234" spans="1:13" x14ac:dyDescent="0.25">
      <c r="A234" s="6">
        <v>46118</v>
      </c>
      <c r="B234" s="11">
        <f t="shared" si="18"/>
        <v>4</v>
      </c>
      <c r="C234" s="11">
        <f t="shared" si="19"/>
        <v>15</v>
      </c>
      <c r="D234" s="5" t="s">
        <v>20</v>
      </c>
      <c r="E234" s="11" t="s">
        <v>14</v>
      </c>
      <c r="F234" s="9" t="s">
        <v>22</v>
      </c>
      <c r="G234" s="11">
        <v>1</v>
      </c>
      <c r="J234" s="7">
        <v>0.46899999999999997</v>
      </c>
      <c r="K234" s="11">
        <f t="shared" si="20"/>
        <v>2026</v>
      </c>
      <c r="L234" s="11" t="s">
        <v>25</v>
      </c>
      <c r="M234" s="11" t="s">
        <v>17</v>
      </c>
    </row>
    <row r="235" spans="1:13" x14ac:dyDescent="0.25">
      <c r="A235" s="6">
        <v>46120.125</v>
      </c>
      <c r="B235" s="11">
        <f t="shared" si="18"/>
        <v>4</v>
      </c>
      <c r="C235" s="11">
        <f t="shared" si="19"/>
        <v>15</v>
      </c>
      <c r="D235" s="5" t="s">
        <v>20</v>
      </c>
      <c r="E235" s="11" t="s">
        <v>14</v>
      </c>
      <c r="F235" s="9" t="s">
        <v>15</v>
      </c>
      <c r="G235" s="11">
        <v>1</v>
      </c>
      <c r="J235" s="7">
        <v>1.548</v>
      </c>
      <c r="K235" s="11">
        <f t="shared" si="20"/>
        <v>2026</v>
      </c>
      <c r="L235" s="11" t="s">
        <v>25</v>
      </c>
      <c r="M235" s="11" t="s">
        <v>17</v>
      </c>
    </row>
    <row r="236" spans="1:13" x14ac:dyDescent="0.25">
      <c r="A236" s="6">
        <v>46119</v>
      </c>
      <c r="B236" s="11">
        <f t="shared" si="18"/>
        <v>4</v>
      </c>
      <c r="C236" s="11">
        <f t="shared" si="19"/>
        <v>15</v>
      </c>
      <c r="D236" s="5" t="s">
        <v>13</v>
      </c>
      <c r="E236" s="11" t="s">
        <v>14</v>
      </c>
      <c r="F236" s="9" t="s">
        <v>22</v>
      </c>
      <c r="G236" s="11">
        <v>1</v>
      </c>
      <c r="J236" s="7">
        <v>2.948</v>
      </c>
      <c r="K236" s="11">
        <f t="shared" si="20"/>
        <v>2026</v>
      </c>
      <c r="L236" s="11" t="s">
        <v>25</v>
      </c>
      <c r="M236" s="11" t="s">
        <v>17</v>
      </c>
    </row>
    <row r="237" spans="1:13" x14ac:dyDescent="0.25">
      <c r="A237" s="6">
        <v>46120.125</v>
      </c>
      <c r="B237" s="11">
        <f t="shared" si="18"/>
        <v>4</v>
      </c>
      <c r="C237" s="11">
        <f t="shared" si="19"/>
        <v>15</v>
      </c>
      <c r="D237" s="5" t="s">
        <v>13</v>
      </c>
      <c r="E237" s="11" t="s">
        <v>14</v>
      </c>
      <c r="F237" s="9" t="s">
        <v>15</v>
      </c>
      <c r="G237" s="11">
        <v>1</v>
      </c>
      <c r="J237" s="7">
        <v>1.4159999999999999</v>
      </c>
      <c r="K237" s="11">
        <f t="shared" si="20"/>
        <v>2026</v>
      </c>
      <c r="L237" s="11" t="s">
        <v>25</v>
      </c>
      <c r="M237" s="11" t="s">
        <v>17</v>
      </c>
    </row>
    <row r="238" spans="1:13" x14ac:dyDescent="0.25">
      <c r="A238" s="6">
        <v>46120.125</v>
      </c>
      <c r="B238" s="11">
        <f t="shared" si="18"/>
        <v>4</v>
      </c>
      <c r="C238" s="11">
        <f t="shared" si="19"/>
        <v>15</v>
      </c>
      <c r="D238" s="5" t="s">
        <v>13</v>
      </c>
      <c r="E238" s="11" t="s">
        <v>14</v>
      </c>
      <c r="F238" s="9" t="s">
        <v>15</v>
      </c>
      <c r="G238" s="11">
        <v>1</v>
      </c>
      <c r="J238" s="7">
        <v>1.851</v>
      </c>
      <c r="K238" s="11">
        <f t="shared" si="20"/>
        <v>2026</v>
      </c>
      <c r="L238" s="11" t="s">
        <v>25</v>
      </c>
      <c r="M238" s="11" t="s">
        <v>17</v>
      </c>
    </row>
    <row r="239" spans="1:13" x14ac:dyDescent="0.25">
      <c r="A239" s="6">
        <v>46120.125</v>
      </c>
      <c r="B239" s="11">
        <f t="shared" si="18"/>
        <v>4</v>
      </c>
      <c r="C239" s="11">
        <f t="shared" si="19"/>
        <v>15</v>
      </c>
      <c r="D239" s="5" t="s">
        <v>13</v>
      </c>
      <c r="E239" s="11" t="s">
        <v>14</v>
      </c>
      <c r="F239" s="9" t="s">
        <v>15</v>
      </c>
      <c r="G239" s="11">
        <v>1</v>
      </c>
      <c r="J239" s="7">
        <v>0.435</v>
      </c>
      <c r="K239" s="11">
        <f t="shared" si="20"/>
        <v>2026</v>
      </c>
      <c r="L239" s="11" t="s">
        <v>25</v>
      </c>
      <c r="M239" s="11" t="s">
        <v>17</v>
      </c>
    </row>
    <row r="240" spans="1:13" x14ac:dyDescent="0.25">
      <c r="A240" s="6">
        <v>46123.541666666664</v>
      </c>
      <c r="B240" s="11">
        <f t="shared" si="18"/>
        <v>4</v>
      </c>
      <c r="C240" s="11">
        <f t="shared" si="19"/>
        <v>15</v>
      </c>
      <c r="D240" s="5" t="s">
        <v>18</v>
      </c>
      <c r="E240" s="11" t="s">
        <v>14</v>
      </c>
      <c r="F240" s="9" t="s">
        <v>15</v>
      </c>
      <c r="G240" s="11">
        <v>1</v>
      </c>
      <c r="J240" s="7">
        <v>6.7229999999999999</v>
      </c>
      <c r="K240" s="11">
        <f t="shared" si="20"/>
        <v>2026</v>
      </c>
      <c r="L240" s="11" t="s">
        <v>25</v>
      </c>
      <c r="M240" s="11" t="s">
        <v>17</v>
      </c>
    </row>
    <row r="241" spans="1:13" x14ac:dyDescent="0.25">
      <c r="A241" s="6">
        <v>46118</v>
      </c>
      <c r="B241" s="11">
        <f t="shared" si="18"/>
        <v>4</v>
      </c>
      <c r="C241" s="11">
        <f t="shared" si="19"/>
        <v>15</v>
      </c>
      <c r="D241" s="5" t="s">
        <v>18</v>
      </c>
      <c r="E241" s="11" t="s">
        <v>14</v>
      </c>
      <c r="F241" s="9" t="s">
        <v>22</v>
      </c>
      <c r="G241" s="11">
        <v>1</v>
      </c>
      <c r="J241" s="7">
        <v>1.7709999999999999</v>
      </c>
      <c r="K241" s="11">
        <f t="shared" si="20"/>
        <v>2026</v>
      </c>
      <c r="L241" s="11" t="s">
        <v>25</v>
      </c>
      <c r="M241" s="11" t="s">
        <v>17</v>
      </c>
    </row>
    <row r="242" spans="1:13" x14ac:dyDescent="0.25">
      <c r="A242" s="6">
        <v>46117.625</v>
      </c>
      <c r="B242" s="11">
        <f t="shared" si="18"/>
        <v>4</v>
      </c>
      <c r="C242" s="11">
        <f t="shared" si="19"/>
        <v>15</v>
      </c>
      <c r="D242" s="5" t="s">
        <v>13</v>
      </c>
      <c r="E242" s="11" t="s">
        <v>14</v>
      </c>
      <c r="F242" s="9" t="s">
        <v>15</v>
      </c>
      <c r="G242" s="11">
        <v>1</v>
      </c>
      <c r="J242" s="7">
        <v>1.0489999999999999</v>
      </c>
      <c r="K242" s="11">
        <f t="shared" si="20"/>
        <v>2026</v>
      </c>
      <c r="L242" s="11" t="s">
        <v>25</v>
      </c>
      <c r="M242" s="11" t="s">
        <v>17</v>
      </c>
    </row>
    <row r="243" spans="1:13" x14ac:dyDescent="0.25">
      <c r="A243" s="6">
        <v>46117.625</v>
      </c>
      <c r="B243" s="11">
        <f t="shared" si="18"/>
        <v>4</v>
      </c>
      <c r="C243" s="11">
        <f t="shared" si="19"/>
        <v>15</v>
      </c>
      <c r="D243" s="5" t="s">
        <v>13</v>
      </c>
      <c r="E243" s="11" t="s">
        <v>14</v>
      </c>
      <c r="F243" s="9" t="s">
        <v>15</v>
      </c>
      <c r="G243" s="11">
        <v>1</v>
      </c>
      <c r="J243" s="7">
        <v>0.92600000000000005</v>
      </c>
      <c r="K243" s="11">
        <f t="shared" si="20"/>
        <v>2026</v>
      </c>
      <c r="L243" s="11" t="s">
        <v>25</v>
      </c>
      <c r="M243" s="11" t="s">
        <v>17</v>
      </c>
    </row>
    <row r="244" spans="1:13" x14ac:dyDescent="0.25">
      <c r="A244" s="6">
        <v>46117.625</v>
      </c>
      <c r="B244" s="11">
        <f t="shared" si="18"/>
        <v>4</v>
      </c>
      <c r="C244" s="11">
        <f t="shared" si="19"/>
        <v>15</v>
      </c>
      <c r="D244" s="5" t="s">
        <v>13</v>
      </c>
      <c r="E244" s="11" t="s">
        <v>14</v>
      </c>
      <c r="F244" s="9" t="s">
        <v>15</v>
      </c>
      <c r="G244" s="11">
        <v>1</v>
      </c>
      <c r="J244" s="7">
        <v>1.3009999999999999</v>
      </c>
      <c r="K244" s="11">
        <f t="shared" si="20"/>
        <v>2026</v>
      </c>
      <c r="L244" s="11" t="s">
        <v>25</v>
      </c>
      <c r="M244" s="11" t="s">
        <v>17</v>
      </c>
    </row>
    <row r="245" spans="1:13" x14ac:dyDescent="0.25">
      <c r="A245" s="6">
        <v>46123.541666666664</v>
      </c>
      <c r="B245" s="11">
        <f t="shared" si="18"/>
        <v>4</v>
      </c>
      <c r="C245" s="11">
        <f t="shared" si="19"/>
        <v>15</v>
      </c>
      <c r="D245" s="5" t="s">
        <v>18</v>
      </c>
      <c r="E245" s="11" t="s">
        <v>14</v>
      </c>
      <c r="F245" s="9" t="s">
        <v>15</v>
      </c>
      <c r="G245" s="11">
        <v>1</v>
      </c>
      <c r="J245" s="7">
        <v>2.016</v>
      </c>
      <c r="K245" s="11">
        <f t="shared" si="20"/>
        <v>2026</v>
      </c>
      <c r="L245" s="11" t="s">
        <v>25</v>
      </c>
      <c r="M245" s="11" t="s">
        <v>17</v>
      </c>
    </row>
    <row r="246" spans="1:13" x14ac:dyDescent="0.25">
      <c r="A246" s="6">
        <v>46121</v>
      </c>
      <c r="B246" s="11">
        <f t="shared" si="18"/>
        <v>4</v>
      </c>
      <c r="C246" s="11">
        <f t="shared" si="19"/>
        <v>15</v>
      </c>
      <c r="D246" s="5" t="s">
        <v>19</v>
      </c>
      <c r="E246" s="11" t="s">
        <v>14</v>
      </c>
      <c r="F246" s="9" t="s">
        <v>22</v>
      </c>
      <c r="G246" s="11">
        <v>1</v>
      </c>
      <c r="J246" s="7">
        <v>14.91</v>
      </c>
      <c r="K246" s="11">
        <f t="shared" si="20"/>
        <v>2026</v>
      </c>
      <c r="L246" s="11" t="s">
        <v>25</v>
      </c>
      <c r="M246" s="11" t="s">
        <v>17</v>
      </c>
    </row>
    <row r="247" spans="1:13" x14ac:dyDescent="0.25">
      <c r="A247" s="6">
        <v>46117.625</v>
      </c>
      <c r="B247" s="11">
        <f t="shared" si="18"/>
        <v>4</v>
      </c>
      <c r="C247" s="11">
        <f t="shared" si="19"/>
        <v>15</v>
      </c>
      <c r="D247" s="5" t="s">
        <v>18</v>
      </c>
      <c r="E247" s="11" t="s">
        <v>14</v>
      </c>
      <c r="F247" s="9" t="s">
        <v>15</v>
      </c>
      <c r="G247" s="11">
        <v>1</v>
      </c>
      <c r="J247" s="7">
        <v>2.081</v>
      </c>
      <c r="K247" s="11">
        <f t="shared" si="20"/>
        <v>2026</v>
      </c>
      <c r="L247" s="11" t="s">
        <v>25</v>
      </c>
      <c r="M247" s="11" t="s">
        <v>17</v>
      </c>
    </row>
    <row r="248" spans="1:13" x14ac:dyDescent="0.25">
      <c r="A248" s="6">
        <v>46117.625</v>
      </c>
      <c r="B248" s="11">
        <f t="shared" si="18"/>
        <v>4</v>
      </c>
      <c r="C248" s="11">
        <f t="shared" si="19"/>
        <v>15</v>
      </c>
      <c r="D248" s="5" t="s">
        <v>13</v>
      </c>
      <c r="E248" s="11" t="s">
        <v>14</v>
      </c>
      <c r="F248" s="9" t="s">
        <v>15</v>
      </c>
      <c r="G248" s="11">
        <v>1</v>
      </c>
      <c r="J248" s="7">
        <v>2.3079999999999998</v>
      </c>
      <c r="K248" s="11">
        <f t="shared" si="20"/>
        <v>2026</v>
      </c>
      <c r="L248" s="11" t="s">
        <v>25</v>
      </c>
      <c r="M248" s="11" t="s">
        <v>17</v>
      </c>
    </row>
    <row r="249" spans="1:13" x14ac:dyDescent="0.25">
      <c r="A249" s="6">
        <v>46119</v>
      </c>
      <c r="B249" s="11">
        <f t="shared" si="18"/>
        <v>4</v>
      </c>
      <c r="C249" s="11">
        <f t="shared" si="19"/>
        <v>15</v>
      </c>
      <c r="D249" s="5" t="s">
        <v>21</v>
      </c>
      <c r="E249" s="11" t="s">
        <v>14</v>
      </c>
      <c r="F249" s="9" t="s">
        <v>22</v>
      </c>
      <c r="G249" s="11">
        <v>1</v>
      </c>
      <c r="J249" s="7">
        <v>0.18</v>
      </c>
      <c r="K249" s="11">
        <f t="shared" si="20"/>
        <v>2026</v>
      </c>
      <c r="L249" s="11" t="s">
        <v>25</v>
      </c>
      <c r="M249" s="11" t="s">
        <v>17</v>
      </c>
    </row>
    <row r="250" spans="1:13" x14ac:dyDescent="0.25">
      <c r="A250" s="6">
        <v>46117.625</v>
      </c>
      <c r="B250" s="11">
        <f t="shared" si="18"/>
        <v>4</v>
      </c>
      <c r="C250" s="11">
        <f t="shared" si="19"/>
        <v>15</v>
      </c>
      <c r="D250" s="5" t="s">
        <v>13</v>
      </c>
      <c r="E250" s="11" t="s">
        <v>14</v>
      </c>
      <c r="F250" s="9" t="s">
        <v>15</v>
      </c>
      <c r="G250" s="11">
        <v>1</v>
      </c>
      <c r="J250" s="7">
        <v>6.47</v>
      </c>
      <c r="K250" s="11">
        <f t="shared" si="20"/>
        <v>2026</v>
      </c>
      <c r="L250" s="11" t="s">
        <v>25</v>
      </c>
      <c r="M250" s="11" t="s">
        <v>17</v>
      </c>
    </row>
    <row r="251" spans="1:13" x14ac:dyDescent="0.25">
      <c r="A251" s="6">
        <v>46119</v>
      </c>
      <c r="B251" s="11">
        <f t="shared" si="18"/>
        <v>4</v>
      </c>
      <c r="C251" s="11">
        <f t="shared" si="19"/>
        <v>15</v>
      </c>
      <c r="D251" s="5" t="s">
        <v>21</v>
      </c>
      <c r="E251" s="11" t="s">
        <v>14</v>
      </c>
      <c r="F251" s="9" t="s">
        <v>22</v>
      </c>
      <c r="G251" s="11">
        <v>1</v>
      </c>
      <c r="J251" s="7">
        <v>3</v>
      </c>
      <c r="K251" s="11">
        <f t="shared" si="20"/>
        <v>2026</v>
      </c>
      <c r="L251" s="11" t="s">
        <v>25</v>
      </c>
      <c r="M251" s="11" t="s">
        <v>17</v>
      </c>
    </row>
    <row r="252" spans="1:13" x14ac:dyDescent="0.25">
      <c r="A252" s="6">
        <v>46119</v>
      </c>
      <c r="B252" s="11">
        <f t="shared" si="18"/>
        <v>4</v>
      </c>
      <c r="C252" s="11">
        <f t="shared" si="19"/>
        <v>15</v>
      </c>
      <c r="D252" s="5" t="s">
        <v>21</v>
      </c>
      <c r="E252" s="11" t="s">
        <v>14</v>
      </c>
      <c r="F252" s="9" t="s">
        <v>22</v>
      </c>
      <c r="G252" s="11">
        <v>1</v>
      </c>
      <c r="J252" s="7">
        <v>0.55000000000000004</v>
      </c>
      <c r="K252" s="11">
        <f t="shared" si="20"/>
        <v>2026</v>
      </c>
      <c r="L252" s="11" t="s">
        <v>25</v>
      </c>
      <c r="M252" s="11" t="s">
        <v>17</v>
      </c>
    </row>
    <row r="253" spans="1:13" x14ac:dyDescent="0.25">
      <c r="A253" s="6">
        <v>46119.25</v>
      </c>
      <c r="B253" s="11">
        <f t="shared" si="18"/>
        <v>4</v>
      </c>
      <c r="C253" s="11">
        <f t="shared" si="19"/>
        <v>15</v>
      </c>
      <c r="D253" s="5" t="s">
        <v>13</v>
      </c>
      <c r="E253" s="11" t="s">
        <v>14</v>
      </c>
      <c r="F253" s="9" t="s">
        <v>15</v>
      </c>
      <c r="G253" s="11">
        <v>1</v>
      </c>
      <c r="J253" s="7">
        <v>0.2</v>
      </c>
      <c r="K253" s="11">
        <f t="shared" si="20"/>
        <v>2026</v>
      </c>
      <c r="L253" s="11" t="s">
        <v>25</v>
      </c>
      <c r="M253" s="11" t="s">
        <v>17</v>
      </c>
    </row>
    <row r="254" spans="1:13" x14ac:dyDescent="0.25">
      <c r="A254" s="6">
        <v>46119.25</v>
      </c>
      <c r="B254" s="11">
        <f t="shared" si="18"/>
        <v>4</v>
      </c>
      <c r="C254" s="11">
        <f t="shared" si="19"/>
        <v>15</v>
      </c>
      <c r="D254" s="5" t="s">
        <v>18</v>
      </c>
      <c r="E254" s="11" t="s">
        <v>14</v>
      </c>
      <c r="F254" s="9" t="s">
        <v>15</v>
      </c>
      <c r="G254" s="11">
        <v>1</v>
      </c>
      <c r="J254" s="7">
        <v>1.23</v>
      </c>
      <c r="K254" s="11">
        <f t="shared" si="20"/>
        <v>2026</v>
      </c>
      <c r="L254" s="11" t="s">
        <v>25</v>
      </c>
      <c r="M254" s="11" t="s">
        <v>17</v>
      </c>
    </row>
    <row r="255" spans="1:13" x14ac:dyDescent="0.25">
      <c r="A255" s="6">
        <v>46120</v>
      </c>
      <c r="B255" s="11">
        <f t="shared" si="18"/>
        <v>4</v>
      </c>
      <c r="C255" s="11">
        <f t="shared" si="19"/>
        <v>15</v>
      </c>
      <c r="D255" s="5" t="s">
        <v>20</v>
      </c>
      <c r="E255" s="11" t="s">
        <v>14</v>
      </c>
      <c r="F255" s="9" t="s">
        <v>22</v>
      </c>
      <c r="G255" s="11">
        <v>1</v>
      </c>
      <c r="J255" s="7">
        <v>3.78</v>
      </c>
      <c r="K255" s="11">
        <f t="shared" si="20"/>
        <v>2026</v>
      </c>
      <c r="L255" s="11" t="s">
        <v>25</v>
      </c>
      <c r="M255" s="11" t="s">
        <v>17</v>
      </c>
    </row>
    <row r="256" spans="1:13" x14ac:dyDescent="0.25">
      <c r="A256" s="6">
        <v>46120</v>
      </c>
      <c r="B256" s="11">
        <f t="shared" si="18"/>
        <v>4</v>
      </c>
      <c r="C256" s="11">
        <f t="shared" si="19"/>
        <v>15</v>
      </c>
      <c r="D256" s="5" t="s">
        <v>20</v>
      </c>
      <c r="E256" s="11" t="s">
        <v>14</v>
      </c>
      <c r="F256" s="9" t="s">
        <v>22</v>
      </c>
      <c r="G256" s="11">
        <v>1</v>
      </c>
      <c r="J256" s="7">
        <v>13.86</v>
      </c>
      <c r="K256" s="11">
        <f t="shared" si="20"/>
        <v>2026</v>
      </c>
      <c r="L256" s="11" t="s">
        <v>25</v>
      </c>
      <c r="M256" s="11" t="s">
        <v>17</v>
      </c>
    </row>
    <row r="257" spans="1:13" x14ac:dyDescent="0.25">
      <c r="A257" s="6">
        <v>46117.625</v>
      </c>
      <c r="B257" s="11">
        <f t="shared" si="18"/>
        <v>4</v>
      </c>
      <c r="C257" s="11">
        <f t="shared" si="19"/>
        <v>15</v>
      </c>
      <c r="D257" s="5" t="s">
        <v>18</v>
      </c>
      <c r="E257" s="11" t="s">
        <v>14</v>
      </c>
      <c r="F257" s="9" t="s">
        <v>15</v>
      </c>
      <c r="G257" s="11">
        <v>1</v>
      </c>
      <c r="J257" s="7">
        <v>5.28</v>
      </c>
      <c r="K257" s="11">
        <f t="shared" si="20"/>
        <v>2026</v>
      </c>
      <c r="L257" s="11" t="s">
        <v>25</v>
      </c>
      <c r="M257" s="11" t="s">
        <v>17</v>
      </c>
    </row>
    <row r="258" spans="1:13" x14ac:dyDescent="0.25">
      <c r="A258" s="6">
        <v>46119</v>
      </c>
      <c r="B258" s="11">
        <f t="shared" si="18"/>
        <v>4</v>
      </c>
      <c r="C258" s="11">
        <f t="shared" si="19"/>
        <v>15</v>
      </c>
      <c r="D258" s="5" t="s">
        <v>18</v>
      </c>
      <c r="E258" s="11" t="s">
        <v>14</v>
      </c>
      <c r="F258" s="9" t="s">
        <v>22</v>
      </c>
      <c r="G258" s="11">
        <v>1</v>
      </c>
      <c r="J258" s="7">
        <v>5.28</v>
      </c>
      <c r="K258" s="11">
        <f t="shared" si="20"/>
        <v>2026</v>
      </c>
      <c r="L258" s="11" t="s">
        <v>25</v>
      </c>
      <c r="M258" s="11" t="s">
        <v>17</v>
      </c>
    </row>
    <row r="259" spans="1:13" x14ac:dyDescent="0.25">
      <c r="A259" s="6">
        <v>46123.291666666664</v>
      </c>
      <c r="B259" s="11">
        <f t="shared" si="18"/>
        <v>4</v>
      </c>
      <c r="C259" s="11">
        <f t="shared" si="19"/>
        <v>15</v>
      </c>
      <c r="D259" s="5" t="s">
        <v>18</v>
      </c>
      <c r="E259" s="11" t="s">
        <v>14</v>
      </c>
      <c r="F259" s="9" t="s">
        <v>15</v>
      </c>
      <c r="G259" s="11">
        <v>1</v>
      </c>
      <c r="J259" s="7">
        <v>1.341</v>
      </c>
      <c r="K259" s="11">
        <f t="shared" si="20"/>
        <v>2026</v>
      </c>
      <c r="L259" s="11" t="s">
        <v>25</v>
      </c>
      <c r="M259" s="11" t="s">
        <v>17</v>
      </c>
    </row>
    <row r="260" spans="1:13" x14ac:dyDescent="0.25">
      <c r="A260" s="6">
        <v>46122</v>
      </c>
      <c r="B260" s="11">
        <f t="shared" si="18"/>
        <v>4</v>
      </c>
      <c r="C260" s="11">
        <f t="shared" si="19"/>
        <v>15</v>
      </c>
      <c r="D260" s="5" t="s">
        <v>19</v>
      </c>
      <c r="E260" s="11" t="s">
        <v>14</v>
      </c>
      <c r="F260" s="9" t="s">
        <v>22</v>
      </c>
      <c r="G260" s="11">
        <v>1</v>
      </c>
      <c r="J260" s="7">
        <v>4.0490000000000004</v>
      </c>
      <c r="K260" s="11">
        <f t="shared" si="20"/>
        <v>2026</v>
      </c>
      <c r="L260" s="11" t="s">
        <v>25</v>
      </c>
      <c r="M260" s="11" t="s">
        <v>17</v>
      </c>
    </row>
    <row r="261" spans="1:13" x14ac:dyDescent="0.25">
      <c r="A261" s="6">
        <v>46119.25</v>
      </c>
      <c r="B261" s="11">
        <f t="shared" si="18"/>
        <v>4</v>
      </c>
      <c r="C261" s="11">
        <f t="shared" si="19"/>
        <v>15</v>
      </c>
      <c r="D261" s="5" t="s">
        <v>13</v>
      </c>
      <c r="E261" s="11" t="s">
        <v>14</v>
      </c>
      <c r="F261" s="9" t="s">
        <v>15</v>
      </c>
      <c r="G261" s="11">
        <v>1</v>
      </c>
      <c r="J261" s="7">
        <v>8.7230000000000008</v>
      </c>
      <c r="K261" s="11">
        <f t="shared" si="20"/>
        <v>2026</v>
      </c>
      <c r="L261" s="11" t="s">
        <v>25</v>
      </c>
      <c r="M261" s="11" t="s">
        <v>17</v>
      </c>
    </row>
    <row r="262" spans="1:13" x14ac:dyDescent="0.25">
      <c r="A262" s="6">
        <v>46119.208333333336</v>
      </c>
      <c r="B262" s="11">
        <f t="shared" si="18"/>
        <v>4</v>
      </c>
      <c r="C262" s="11">
        <f t="shared" si="19"/>
        <v>15</v>
      </c>
      <c r="D262" s="5" t="s">
        <v>21</v>
      </c>
      <c r="E262" s="11" t="s">
        <v>14</v>
      </c>
      <c r="F262" s="9" t="s">
        <v>15</v>
      </c>
      <c r="G262" s="11">
        <v>1</v>
      </c>
      <c r="J262" s="7">
        <v>2.72</v>
      </c>
      <c r="K262" s="11">
        <f t="shared" si="20"/>
        <v>2026</v>
      </c>
      <c r="L262" s="11" t="s">
        <v>25</v>
      </c>
      <c r="M262" s="11" t="s">
        <v>17</v>
      </c>
    </row>
    <row r="263" spans="1:13" x14ac:dyDescent="0.25">
      <c r="A263" s="6">
        <v>46119.17291666667</v>
      </c>
      <c r="B263" s="11">
        <f t="shared" si="18"/>
        <v>4</v>
      </c>
      <c r="C263" s="11">
        <f t="shared" si="19"/>
        <v>15</v>
      </c>
      <c r="D263" s="5" t="s">
        <v>18</v>
      </c>
      <c r="E263" s="11" t="s">
        <v>14</v>
      </c>
      <c r="F263" s="9" t="s">
        <v>22</v>
      </c>
      <c r="G263" s="11">
        <v>1</v>
      </c>
      <c r="J263" s="7">
        <v>12.37</v>
      </c>
      <c r="K263" s="11">
        <f t="shared" si="20"/>
        <v>2026</v>
      </c>
      <c r="L263" s="11" t="s">
        <v>25</v>
      </c>
      <c r="M263" s="11" t="s">
        <v>17</v>
      </c>
    </row>
    <row r="264" spans="1:13" x14ac:dyDescent="0.25">
      <c r="A264" s="6">
        <v>46120.439583333333</v>
      </c>
      <c r="B264" s="11">
        <f t="shared" si="18"/>
        <v>4</v>
      </c>
      <c r="C264" s="11">
        <f t="shared" si="19"/>
        <v>15</v>
      </c>
      <c r="D264" s="5" t="s">
        <v>18</v>
      </c>
      <c r="E264" s="11" t="s">
        <v>14</v>
      </c>
      <c r="F264" s="9" t="s">
        <v>22</v>
      </c>
      <c r="G264" s="11">
        <v>1</v>
      </c>
      <c r="J264" s="7">
        <v>7.42</v>
      </c>
      <c r="K264" s="11">
        <f t="shared" si="20"/>
        <v>2026</v>
      </c>
      <c r="L264" s="11" t="s">
        <v>25</v>
      </c>
      <c r="M264" s="11" t="s">
        <v>17</v>
      </c>
    </row>
    <row r="265" spans="1:13" x14ac:dyDescent="0.25">
      <c r="A265" s="6">
        <v>46119.25</v>
      </c>
      <c r="B265" s="11">
        <f t="shared" si="18"/>
        <v>4</v>
      </c>
      <c r="C265" s="11">
        <f t="shared" si="19"/>
        <v>15</v>
      </c>
      <c r="D265" s="5" t="s">
        <v>18</v>
      </c>
      <c r="E265" s="11" t="s">
        <v>14</v>
      </c>
      <c r="F265" s="9" t="s">
        <v>15</v>
      </c>
      <c r="G265" s="11">
        <v>1</v>
      </c>
      <c r="J265" s="7">
        <v>1.31</v>
      </c>
      <c r="K265" s="11">
        <f t="shared" si="20"/>
        <v>2026</v>
      </c>
      <c r="L265" s="11" t="s">
        <v>25</v>
      </c>
      <c r="M265" s="11" t="s">
        <v>17</v>
      </c>
    </row>
    <row r="266" spans="1:13" x14ac:dyDescent="0.25">
      <c r="A266" s="6">
        <v>46119.208333333336</v>
      </c>
      <c r="B266" s="11">
        <f t="shared" si="18"/>
        <v>4</v>
      </c>
      <c r="C266" s="11">
        <f t="shared" si="19"/>
        <v>15</v>
      </c>
      <c r="D266" s="5" t="s">
        <v>13</v>
      </c>
      <c r="E266" s="11" t="s">
        <v>14</v>
      </c>
      <c r="F266" s="9" t="s">
        <v>15</v>
      </c>
      <c r="G266" s="11">
        <v>1</v>
      </c>
      <c r="J266" s="7">
        <v>5.5789999999999997</v>
      </c>
      <c r="K266" s="11">
        <f t="shared" si="20"/>
        <v>2026</v>
      </c>
      <c r="L266" s="11" t="s">
        <v>25</v>
      </c>
      <c r="M266" s="11" t="s">
        <v>17</v>
      </c>
    </row>
    <row r="267" spans="1:13" x14ac:dyDescent="0.25">
      <c r="A267" s="6">
        <v>46119.25</v>
      </c>
      <c r="B267" s="11">
        <f t="shared" si="18"/>
        <v>4</v>
      </c>
      <c r="C267" s="11">
        <f t="shared" si="19"/>
        <v>15</v>
      </c>
      <c r="D267" s="5" t="s">
        <v>13</v>
      </c>
      <c r="E267" s="11" t="s">
        <v>14</v>
      </c>
      <c r="F267" s="9" t="s">
        <v>15</v>
      </c>
      <c r="G267" s="11">
        <v>1</v>
      </c>
      <c r="J267" s="7">
        <v>1.0469999999999999</v>
      </c>
      <c r="K267" s="11">
        <f t="shared" si="20"/>
        <v>2026</v>
      </c>
      <c r="L267" s="11" t="s">
        <v>25</v>
      </c>
      <c r="M267" s="11" t="s">
        <v>17</v>
      </c>
    </row>
    <row r="268" spans="1:13" x14ac:dyDescent="0.25">
      <c r="A268" s="6">
        <v>46119.25</v>
      </c>
      <c r="B268" s="11">
        <f t="shared" si="18"/>
        <v>4</v>
      </c>
      <c r="C268" s="11">
        <f t="shared" si="19"/>
        <v>15</v>
      </c>
      <c r="D268" s="5" t="s">
        <v>13</v>
      </c>
      <c r="E268" s="11" t="s">
        <v>14</v>
      </c>
      <c r="F268" s="9" t="s">
        <v>15</v>
      </c>
      <c r="G268" s="11">
        <v>1</v>
      </c>
      <c r="J268" s="7">
        <v>0.93200000000000005</v>
      </c>
      <c r="K268" s="11">
        <f t="shared" si="20"/>
        <v>2026</v>
      </c>
      <c r="L268" s="11" t="s">
        <v>25</v>
      </c>
      <c r="M268" s="11" t="s">
        <v>17</v>
      </c>
    </row>
    <row r="269" spans="1:13" x14ac:dyDescent="0.25">
      <c r="A269" s="6">
        <v>46119.208333333336</v>
      </c>
      <c r="B269" s="11">
        <f t="shared" si="18"/>
        <v>4</v>
      </c>
      <c r="C269" s="11">
        <f t="shared" si="19"/>
        <v>15</v>
      </c>
      <c r="D269" s="5" t="s">
        <v>13</v>
      </c>
      <c r="E269" s="11" t="s">
        <v>14</v>
      </c>
      <c r="F269" s="9" t="s">
        <v>15</v>
      </c>
      <c r="G269" s="11">
        <v>1</v>
      </c>
      <c r="J269" s="7">
        <v>6.7</v>
      </c>
      <c r="K269" s="11">
        <f t="shared" si="20"/>
        <v>2026</v>
      </c>
      <c r="L269" s="11" t="s">
        <v>25</v>
      </c>
      <c r="M269" s="11" t="s">
        <v>17</v>
      </c>
    </row>
    <row r="270" spans="1:13" x14ac:dyDescent="0.25">
      <c r="A270" s="6">
        <v>46119.208333333336</v>
      </c>
      <c r="B270" s="11">
        <f t="shared" si="18"/>
        <v>4</v>
      </c>
      <c r="C270" s="11">
        <f t="shared" si="19"/>
        <v>15</v>
      </c>
      <c r="D270" s="5" t="s">
        <v>18</v>
      </c>
      <c r="E270" s="11" t="s">
        <v>14</v>
      </c>
      <c r="F270" s="9" t="s">
        <v>15</v>
      </c>
      <c r="G270" s="11">
        <v>1</v>
      </c>
      <c r="J270" s="7">
        <v>2.04</v>
      </c>
      <c r="K270" s="11">
        <f t="shared" si="20"/>
        <v>2026</v>
      </c>
      <c r="L270" s="11" t="s">
        <v>25</v>
      </c>
      <c r="M270" s="11" t="s">
        <v>17</v>
      </c>
    </row>
    <row r="271" spans="1:13" x14ac:dyDescent="0.25">
      <c r="A271" s="6">
        <v>46117.208333333336</v>
      </c>
      <c r="B271" s="11">
        <f t="shared" ref="B271:B314" si="21">MONTH(A271)</f>
        <v>4</v>
      </c>
      <c r="C271" s="11">
        <f t="shared" ref="C271:C314" si="22">WEEKNUM(A271)</f>
        <v>15</v>
      </c>
      <c r="D271" s="5" t="s">
        <v>19</v>
      </c>
      <c r="E271" s="11" t="s">
        <v>14</v>
      </c>
      <c r="F271" s="9" t="s">
        <v>22</v>
      </c>
      <c r="G271" s="11">
        <v>1</v>
      </c>
      <c r="J271" s="7">
        <v>1.77</v>
      </c>
      <c r="K271" s="11">
        <f t="shared" si="20"/>
        <v>2026</v>
      </c>
      <c r="L271" s="11" t="s">
        <v>25</v>
      </c>
      <c r="M271" s="11" t="s">
        <v>17</v>
      </c>
    </row>
    <row r="272" spans="1:13" x14ac:dyDescent="0.25">
      <c r="A272" s="6">
        <v>46119.25</v>
      </c>
      <c r="B272" s="11">
        <f t="shared" si="21"/>
        <v>4</v>
      </c>
      <c r="C272" s="11">
        <f t="shared" si="22"/>
        <v>15</v>
      </c>
      <c r="D272" s="5" t="s">
        <v>13</v>
      </c>
      <c r="E272" s="11" t="s">
        <v>14</v>
      </c>
      <c r="F272" s="9" t="s">
        <v>15</v>
      </c>
      <c r="G272" s="11">
        <v>1</v>
      </c>
      <c r="J272" s="7">
        <v>1.331</v>
      </c>
      <c r="K272" s="11">
        <f t="shared" ref="K272:K314" si="23">YEAR(A272)</f>
        <v>2026</v>
      </c>
      <c r="L272" s="11" t="s">
        <v>25</v>
      </c>
      <c r="M272" s="11" t="s">
        <v>17</v>
      </c>
    </row>
    <row r="273" spans="1:13" x14ac:dyDescent="0.25">
      <c r="A273" s="6">
        <v>46119.25</v>
      </c>
      <c r="B273" s="11">
        <f t="shared" si="21"/>
        <v>4</v>
      </c>
      <c r="C273" s="11">
        <f t="shared" si="22"/>
        <v>15</v>
      </c>
      <c r="D273" s="5" t="s">
        <v>18</v>
      </c>
      <c r="E273" s="11" t="s">
        <v>14</v>
      </c>
      <c r="F273" s="9" t="s">
        <v>15</v>
      </c>
      <c r="G273" s="11">
        <v>1</v>
      </c>
      <c r="J273" s="7">
        <v>0.38700000000000001</v>
      </c>
      <c r="K273" s="11">
        <f t="shared" si="23"/>
        <v>2026</v>
      </c>
      <c r="L273" s="11" t="s">
        <v>25</v>
      </c>
      <c r="M273" s="11" t="s">
        <v>17</v>
      </c>
    </row>
    <row r="274" spans="1:13" x14ac:dyDescent="0.25">
      <c r="A274" s="6">
        <v>46121.5</v>
      </c>
      <c r="B274" s="11">
        <f t="shared" si="21"/>
        <v>4</v>
      </c>
      <c r="C274" s="11">
        <f t="shared" si="22"/>
        <v>15</v>
      </c>
      <c r="D274" s="5" t="s">
        <v>13</v>
      </c>
      <c r="E274" s="11" t="s">
        <v>14</v>
      </c>
      <c r="F274" s="9" t="s">
        <v>22</v>
      </c>
      <c r="G274" s="11">
        <v>1</v>
      </c>
      <c r="J274" s="7">
        <v>2.4</v>
      </c>
      <c r="K274" s="11">
        <f t="shared" si="23"/>
        <v>2026</v>
      </c>
      <c r="L274" s="11" t="s">
        <v>25</v>
      </c>
      <c r="M274" s="11" t="s">
        <v>17</v>
      </c>
    </row>
    <row r="275" spans="1:13" x14ac:dyDescent="0.25">
      <c r="A275" s="6">
        <v>46119.25</v>
      </c>
      <c r="B275" s="11">
        <f t="shared" si="21"/>
        <v>4</v>
      </c>
      <c r="C275" s="11">
        <f t="shared" si="22"/>
        <v>15</v>
      </c>
      <c r="D275" s="5" t="s">
        <v>13</v>
      </c>
      <c r="E275" s="11" t="s">
        <v>14</v>
      </c>
      <c r="F275" s="9" t="s">
        <v>15</v>
      </c>
      <c r="G275" s="11">
        <v>1</v>
      </c>
      <c r="J275" s="7">
        <v>5.7519999999999998</v>
      </c>
      <c r="K275" s="11">
        <f t="shared" si="23"/>
        <v>2026</v>
      </c>
      <c r="L275" s="11" t="s">
        <v>25</v>
      </c>
      <c r="M275" s="11" t="s">
        <v>17</v>
      </c>
    </row>
    <row r="276" spans="1:13" x14ac:dyDescent="0.25">
      <c r="A276" s="6">
        <v>46119.25</v>
      </c>
      <c r="B276" s="11">
        <f t="shared" si="21"/>
        <v>4</v>
      </c>
      <c r="C276" s="11">
        <f t="shared" si="22"/>
        <v>15</v>
      </c>
      <c r="D276" s="5" t="s">
        <v>18</v>
      </c>
      <c r="E276" s="11" t="s">
        <v>14</v>
      </c>
      <c r="F276" s="9" t="s">
        <v>15</v>
      </c>
      <c r="G276" s="11">
        <v>1</v>
      </c>
      <c r="J276" s="7">
        <v>0.05</v>
      </c>
      <c r="K276" s="11">
        <f t="shared" si="23"/>
        <v>2026</v>
      </c>
      <c r="L276" s="11" t="s">
        <v>25</v>
      </c>
      <c r="M276" s="11" t="s">
        <v>17</v>
      </c>
    </row>
    <row r="277" spans="1:13" x14ac:dyDescent="0.25">
      <c r="A277" s="6">
        <v>46119.25</v>
      </c>
      <c r="B277" s="11">
        <f t="shared" si="21"/>
        <v>4</v>
      </c>
      <c r="C277" s="11">
        <f t="shared" si="22"/>
        <v>15</v>
      </c>
      <c r="D277" s="5" t="s">
        <v>13</v>
      </c>
      <c r="E277" s="11" t="s">
        <v>14</v>
      </c>
      <c r="F277" s="9" t="s">
        <v>15</v>
      </c>
      <c r="G277" s="11">
        <v>1</v>
      </c>
      <c r="J277" s="7">
        <v>0.47</v>
      </c>
      <c r="K277" s="11">
        <f t="shared" si="23"/>
        <v>2026</v>
      </c>
      <c r="L277" s="11" t="s">
        <v>25</v>
      </c>
      <c r="M277" s="11" t="s">
        <v>17</v>
      </c>
    </row>
    <row r="278" spans="1:13" x14ac:dyDescent="0.25">
      <c r="A278" s="6">
        <v>46119.25</v>
      </c>
      <c r="B278" s="11">
        <f t="shared" si="21"/>
        <v>4</v>
      </c>
      <c r="C278" s="11">
        <f t="shared" si="22"/>
        <v>15</v>
      </c>
      <c r="D278" s="5" t="s">
        <v>18</v>
      </c>
      <c r="E278" s="11" t="s">
        <v>14</v>
      </c>
      <c r="F278" s="9" t="s">
        <v>15</v>
      </c>
      <c r="G278" s="11">
        <v>1</v>
      </c>
      <c r="J278" s="7">
        <v>0.871</v>
      </c>
      <c r="K278" s="11">
        <f t="shared" si="23"/>
        <v>2026</v>
      </c>
      <c r="L278" s="11" t="s">
        <v>25</v>
      </c>
      <c r="M278" s="11" t="s">
        <v>17</v>
      </c>
    </row>
    <row r="279" spans="1:13" x14ac:dyDescent="0.25">
      <c r="A279" s="6">
        <v>46123</v>
      </c>
      <c r="B279" s="11">
        <f t="shared" si="21"/>
        <v>4</v>
      </c>
      <c r="C279" s="11">
        <f t="shared" si="22"/>
        <v>15</v>
      </c>
      <c r="D279" s="5" t="s">
        <v>21</v>
      </c>
      <c r="E279" s="11" t="s">
        <v>14</v>
      </c>
      <c r="F279" s="9" t="s">
        <v>22</v>
      </c>
      <c r="G279" s="11">
        <v>1</v>
      </c>
      <c r="J279" s="7">
        <v>1.9570000000000001</v>
      </c>
      <c r="K279" s="11">
        <f t="shared" si="23"/>
        <v>2026</v>
      </c>
      <c r="L279" s="11" t="s">
        <v>25</v>
      </c>
      <c r="M279" s="11" t="s">
        <v>17</v>
      </c>
    </row>
    <row r="280" spans="1:13" x14ac:dyDescent="0.25">
      <c r="A280" s="6">
        <v>46119.041666666664</v>
      </c>
      <c r="B280" s="11">
        <f t="shared" si="21"/>
        <v>4</v>
      </c>
      <c r="C280" s="11">
        <f t="shared" si="22"/>
        <v>15</v>
      </c>
      <c r="D280" s="5" t="s">
        <v>13</v>
      </c>
      <c r="E280" s="11" t="s">
        <v>14</v>
      </c>
      <c r="F280" s="9" t="s">
        <v>22</v>
      </c>
      <c r="G280" s="11">
        <v>1</v>
      </c>
      <c r="J280" s="7">
        <v>0.95199999999999996</v>
      </c>
      <c r="K280" s="11">
        <f t="shared" si="23"/>
        <v>2026</v>
      </c>
      <c r="L280" s="11" t="s">
        <v>25</v>
      </c>
      <c r="M280" s="11" t="s">
        <v>17</v>
      </c>
    </row>
    <row r="281" spans="1:13" x14ac:dyDescent="0.25">
      <c r="A281" s="6">
        <v>46119</v>
      </c>
      <c r="B281" s="11">
        <f t="shared" si="21"/>
        <v>4</v>
      </c>
      <c r="C281" s="11">
        <f t="shared" si="22"/>
        <v>15</v>
      </c>
      <c r="D281" s="5" t="s">
        <v>13</v>
      </c>
      <c r="E281" s="11" t="s">
        <v>14</v>
      </c>
      <c r="F281" s="9" t="s">
        <v>22</v>
      </c>
      <c r="G281" s="11">
        <v>1</v>
      </c>
      <c r="J281" s="7">
        <v>0.93100000000000005</v>
      </c>
      <c r="K281" s="11">
        <f t="shared" si="23"/>
        <v>2026</v>
      </c>
      <c r="L281" s="11" t="s">
        <v>25</v>
      </c>
      <c r="M281" s="11" t="s">
        <v>17</v>
      </c>
    </row>
    <row r="282" spans="1:13" x14ac:dyDescent="0.25">
      <c r="A282" s="6">
        <v>46119.041666666664</v>
      </c>
      <c r="B282" s="11">
        <f t="shared" si="21"/>
        <v>4</v>
      </c>
      <c r="C282" s="11">
        <f t="shared" si="22"/>
        <v>15</v>
      </c>
      <c r="D282" s="5" t="s">
        <v>13</v>
      </c>
      <c r="E282" s="11" t="s">
        <v>14</v>
      </c>
      <c r="F282" s="9" t="s">
        <v>22</v>
      </c>
      <c r="G282" s="11">
        <v>1</v>
      </c>
      <c r="J282" s="7">
        <v>7.24</v>
      </c>
      <c r="K282" s="11">
        <f t="shared" si="23"/>
        <v>2026</v>
      </c>
      <c r="L282" s="11" t="s">
        <v>25</v>
      </c>
      <c r="M282" s="11" t="s">
        <v>17</v>
      </c>
    </row>
    <row r="283" spans="1:13" x14ac:dyDescent="0.25">
      <c r="A283" s="6">
        <v>46119.166666666664</v>
      </c>
      <c r="B283" s="11">
        <f t="shared" si="21"/>
        <v>4</v>
      </c>
      <c r="C283" s="11">
        <f t="shared" si="22"/>
        <v>15</v>
      </c>
      <c r="D283" s="5" t="s">
        <v>13</v>
      </c>
      <c r="E283" s="11" t="s">
        <v>14</v>
      </c>
      <c r="F283" s="9" t="s">
        <v>22</v>
      </c>
      <c r="G283" s="11">
        <v>1</v>
      </c>
      <c r="J283" s="7">
        <v>2.859</v>
      </c>
      <c r="K283" s="11">
        <f t="shared" si="23"/>
        <v>2026</v>
      </c>
      <c r="L283" s="11" t="s">
        <v>25</v>
      </c>
      <c r="M283" s="11" t="s">
        <v>17</v>
      </c>
    </row>
    <row r="284" spans="1:13" x14ac:dyDescent="0.25">
      <c r="A284" s="6">
        <v>46119.041666666664</v>
      </c>
      <c r="B284" s="11">
        <f t="shared" si="21"/>
        <v>4</v>
      </c>
      <c r="C284" s="11">
        <f t="shared" si="22"/>
        <v>15</v>
      </c>
      <c r="D284" s="5" t="s">
        <v>13</v>
      </c>
      <c r="E284" s="11" t="s">
        <v>14</v>
      </c>
      <c r="F284" s="9" t="s">
        <v>22</v>
      </c>
      <c r="G284" s="11">
        <v>1</v>
      </c>
      <c r="J284" s="7">
        <v>4.3440000000000003</v>
      </c>
      <c r="K284" s="11">
        <f t="shared" si="23"/>
        <v>2026</v>
      </c>
      <c r="L284" s="11" t="s">
        <v>25</v>
      </c>
      <c r="M284" s="11" t="s">
        <v>17</v>
      </c>
    </row>
    <row r="285" spans="1:13" x14ac:dyDescent="0.25">
      <c r="A285" s="6">
        <v>46119.041666666664</v>
      </c>
      <c r="B285" s="11">
        <f t="shared" si="21"/>
        <v>4</v>
      </c>
      <c r="C285" s="11">
        <f t="shared" si="22"/>
        <v>15</v>
      </c>
      <c r="D285" s="5" t="s">
        <v>13</v>
      </c>
      <c r="E285" s="11" t="s">
        <v>14</v>
      </c>
      <c r="F285" s="9" t="s">
        <v>22</v>
      </c>
      <c r="G285" s="11">
        <v>1</v>
      </c>
      <c r="J285" s="7">
        <v>14.48</v>
      </c>
      <c r="K285" s="11">
        <f t="shared" si="23"/>
        <v>2026</v>
      </c>
      <c r="L285" s="11" t="s">
        <v>25</v>
      </c>
      <c r="M285" s="11" t="s">
        <v>17</v>
      </c>
    </row>
    <row r="286" spans="1:13" x14ac:dyDescent="0.25">
      <c r="A286" s="6">
        <v>46119.041666666664</v>
      </c>
      <c r="B286" s="11">
        <f t="shared" si="21"/>
        <v>4</v>
      </c>
      <c r="C286" s="11">
        <f t="shared" si="22"/>
        <v>15</v>
      </c>
      <c r="D286" s="5" t="s">
        <v>13</v>
      </c>
      <c r="E286" s="11" t="s">
        <v>14</v>
      </c>
      <c r="F286" s="9" t="s">
        <v>22</v>
      </c>
      <c r="G286" s="11">
        <v>1</v>
      </c>
      <c r="J286" s="7">
        <v>1.448</v>
      </c>
      <c r="K286" s="11">
        <f t="shared" si="23"/>
        <v>2026</v>
      </c>
      <c r="L286" s="11" t="s">
        <v>25</v>
      </c>
      <c r="M286" s="11" t="s">
        <v>17</v>
      </c>
    </row>
    <row r="287" spans="1:13" x14ac:dyDescent="0.25">
      <c r="A287" s="6">
        <v>46119.041666666664</v>
      </c>
      <c r="B287" s="11">
        <f t="shared" si="21"/>
        <v>4</v>
      </c>
      <c r="C287" s="11">
        <f t="shared" si="22"/>
        <v>15</v>
      </c>
      <c r="D287" s="5" t="s">
        <v>13</v>
      </c>
      <c r="E287" s="11" t="s">
        <v>14</v>
      </c>
      <c r="F287" s="9" t="s">
        <v>22</v>
      </c>
      <c r="G287" s="11">
        <v>1</v>
      </c>
      <c r="J287" s="7">
        <v>1.5469999999999999</v>
      </c>
      <c r="K287" s="11">
        <f t="shared" si="23"/>
        <v>2026</v>
      </c>
      <c r="L287" s="11" t="s">
        <v>25</v>
      </c>
      <c r="M287" s="11" t="s">
        <v>17</v>
      </c>
    </row>
    <row r="288" spans="1:13" x14ac:dyDescent="0.25">
      <c r="A288" s="6">
        <v>46119.041666666664</v>
      </c>
      <c r="B288" s="11">
        <f t="shared" si="21"/>
        <v>4</v>
      </c>
      <c r="C288" s="11">
        <f t="shared" si="22"/>
        <v>15</v>
      </c>
      <c r="D288" s="5" t="s">
        <v>13</v>
      </c>
      <c r="E288" s="11" t="s">
        <v>14</v>
      </c>
      <c r="F288" s="9" t="s">
        <v>22</v>
      </c>
      <c r="G288" s="11">
        <v>1</v>
      </c>
      <c r="J288" s="7">
        <v>0.39200000000000002</v>
      </c>
      <c r="K288" s="11">
        <f t="shared" si="23"/>
        <v>2026</v>
      </c>
      <c r="L288" s="11" t="s">
        <v>25</v>
      </c>
      <c r="M288" s="11" t="s">
        <v>17</v>
      </c>
    </row>
    <row r="289" spans="1:13" x14ac:dyDescent="0.25">
      <c r="A289" s="6">
        <v>46119.166666666664</v>
      </c>
      <c r="B289" s="11">
        <f t="shared" si="21"/>
        <v>4</v>
      </c>
      <c r="C289" s="11">
        <f t="shared" si="22"/>
        <v>15</v>
      </c>
      <c r="D289" s="5" t="s">
        <v>13</v>
      </c>
      <c r="E289" s="11" t="s">
        <v>14</v>
      </c>
      <c r="F289" s="9" t="s">
        <v>22</v>
      </c>
      <c r="G289" s="11">
        <v>1</v>
      </c>
      <c r="J289" s="7">
        <v>2.8959999999999999</v>
      </c>
      <c r="K289" s="11">
        <f t="shared" si="23"/>
        <v>2026</v>
      </c>
      <c r="L289" s="11" t="s">
        <v>25</v>
      </c>
      <c r="M289" s="11" t="s">
        <v>17</v>
      </c>
    </row>
    <row r="290" spans="1:13" x14ac:dyDescent="0.25">
      <c r="A290" s="6">
        <v>46119.041666666664</v>
      </c>
      <c r="B290" s="11">
        <f t="shared" si="21"/>
        <v>4</v>
      </c>
      <c r="C290" s="11">
        <f t="shared" si="22"/>
        <v>15</v>
      </c>
      <c r="D290" s="5" t="s">
        <v>13</v>
      </c>
      <c r="E290" s="11" t="s">
        <v>14</v>
      </c>
      <c r="F290" s="9" t="s">
        <v>22</v>
      </c>
      <c r="G290" s="11">
        <v>1</v>
      </c>
      <c r="J290" s="7">
        <v>8.6880000000000006</v>
      </c>
      <c r="K290" s="11">
        <f t="shared" si="23"/>
        <v>2026</v>
      </c>
      <c r="L290" s="11" t="s">
        <v>25</v>
      </c>
      <c r="M290" s="11" t="s">
        <v>17</v>
      </c>
    </row>
    <row r="291" spans="1:13" x14ac:dyDescent="0.25">
      <c r="A291" s="6">
        <v>46119.166666666664</v>
      </c>
      <c r="B291" s="11">
        <f t="shared" si="21"/>
        <v>4</v>
      </c>
      <c r="C291" s="11">
        <f t="shared" si="22"/>
        <v>15</v>
      </c>
      <c r="D291" s="5" t="s">
        <v>13</v>
      </c>
      <c r="E291" s="11" t="s">
        <v>14</v>
      </c>
      <c r="F291" s="9" t="s">
        <v>22</v>
      </c>
      <c r="G291" s="11">
        <v>1</v>
      </c>
      <c r="J291" s="7">
        <v>4.3440000000000003</v>
      </c>
      <c r="K291" s="11">
        <f t="shared" si="23"/>
        <v>2026</v>
      </c>
      <c r="L291" s="11" t="s">
        <v>25</v>
      </c>
      <c r="M291" s="11" t="s">
        <v>17</v>
      </c>
    </row>
    <row r="292" spans="1:13" x14ac:dyDescent="0.25">
      <c r="A292" s="6">
        <v>46119.25</v>
      </c>
      <c r="B292" s="11">
        <f t="shared" si="21"/>
        <v>4</v>
      </c>
      <c r="C292" s="11">
        <f t="shared" si="22"/>
        <v>15</v>
      </c>
      <c r="D292" s="5" t="s">
        <v>13</v>
      </c>
      <c r="E292" s="11" t="s">
        <v>14</v>
      </c>
      <c r="F292" s="9" t="s">
        <v>15</v>
      </c>
      <c r="G292" s="11">
        <v>1</v>
      </c>
      <c r="J292" s="7">
        <v>0.51500000000000001</v>
      </c>
      <c r="K292" s="11">
        <f t="shared" si="23"/>
        <v>2026</v>
      </c>
      <c r="L292" s="11" t="s">
        <v>25</v>
      </c>
      <c r="M292" s="11" t="s">
        <v>17</v>
      </c>
    </row>
    <row r="293" spans="1:13" x14ac:dyDescent="0.25">
      <c r="A293" s="6">
        <v>46118</v>
      </c>
      <c r="B293" s="11">
        <f t="shared" si="21"/>
        <v>4</v>
      </c>
      <c r="C293" s="11">
        <f t="shared" si="22"/>
        <v>15</v>
      </c>
      <c r="D293" s="5" t="s">
        <v>20</v>
      </c>
      <c r="E293" s="11" t="s">
        <v>14</v>
      </c>
      <c r="F293" s="9" t="s">
        <v>22</v>
      </c>
      <c r="G293" s="11">
        <v>1</v>
      </c>
      <c r="J293" s="7">
        <v>2.2650000000000001</v>
      </c>
      <c r="K293" s="11">
        <f t="shared" si="23"/>
        <v>2026</v>
      </c>
      <c r="L293" s="11" t="s">
        <v>25</v>
      </c>
      <c r="M293" s="11" t="s">
        <v>17</v>
      </c>
    </row>
    <row r="294" spans="1:13" x14ac:dyDescent="0.25">
      <c r="A294" s="6">
        <v>46119</v>
      </c>
      <c r="B294" s="11">
        <f t="shared" si="21"/>
        <v>4</v>
      </c>
      <c r="C294" s="11">
        <f t="shared" si="22"/>
        <v>15</v>
      </c>
      <c r="D294" s="5" t="s">
        <v>18</v>
      </c>
      <c r="E294" s="11" t="s">
        <v>14</v>
      </c>
      <c r="F294" s="9" t="s">
        <v>22</v>
      </c>
      <c r="G294" s="11">
        <v>1</v>
      </c>
      <c r="J294" s="7">
        <v>0.51500000000000001</v>
      </c>
      <c r="K294" s="11">
        <f t="shared" si="23"/>
        <v>2026</v>
      </c>
      <c r="L294" s="11" t="s">
        <v>25</v>
      </c>
      <c r="M294" s="11" t="s">
        <v>17</v>
      </c>
    </row>
    <row r="295" spans="1:13" x14ac:dyDescent="0.25">
      <c r="A295" s="6">
        <v>46119</v>
      </c>
      <c r="B295" s="11">
        <f t="shared" si="21"/>
        <v>4</v>
      </c>
      <c r="C295" s="11">
        <f t="shared" si="22"/>
        <v>15</v>
      </c>
      <c r="D295" s="5" t="s">
        <v>13</v>
      </c>
      <c r="E295" s="11" t="s">
        <v>14</v>
      </c>
      <c r="F295" s="9" t="s">
        <v>22</v>
      </c>
      <c r="G295" s="11">
        <v>1</v>
      </c>
      <c r="J295" s="7">
        <v>1.591</v>
      </c>
      <c r="K295" s="11">
        <f t="shared" si="23"/>
        <v>2026</v>
      </c>
      <c r="L295" s="11" t="s">
        <v>25</v>
      </c>
      <c r="M295" s="11" t="s">
        <v>17</v>
      </c>
    </row>
    <row r="296" spans="1:13" x14ac:dyDescent="0.25">
      <c r="A296" s="6">
        <v>46119</v>
      </c>
      <c r="B296" s="11">
        <f t="shared" si="21"/>
        <v>4</v>
      </c>
      <c r="C296" s="11">
        <f t="shared" si="22"/>
        <v>15</v>
      </c>
      <c r="D296" s="5" t="s">
        <v>13</v>
      </c>
      <c r="E296" s="11" t="s">
        <v>14</v>
      </c>
      <c r="F296" s="9" t="s">
        <v>22</v>
      </c>
      <c r="G296" s="11">
        <v>1</v>
      </c>
      <c r="J296" s="7">
        <v>1.9350000000000001</v>
      </c>
      <c r="K296" s="11">
        <f t="shared" si="23"/>
        <v>2026</v>
      </c>
      <c r="L296" s="11" t="s">
        <v>25</v>
      </c>
      <c r="M296" s="11" t="s">
        <v>17</v>
      </c>
    </row>
    <row r="297" spans="1:13" x14ac:dyDescent="0.25">
      <c r="A297" s="6">
        <v>46117.625</v>
      </c>
      <c r="B297" s="11">
        <f t="shared" si="21"/>
        <v>4</v>
      </c>
      <c r="C297" s="11">
        <f t="shared" si="22"/>
        <v>15</v>
      </c>
      <c r="D297" s="5" t="s">
        <v>18</v>
      </c>
      <c r="E297" s="11" t="s">
        <v>14</v>
      </c>
      <c r="F297" s="9" t="s">
        <v>15</v>
      </c>
      <c r="G297" s="11">
        <v>1</v>
      </c>
      <c r="J297" s="7">
        <v>3.07</v>
      </c>
      <c r="K297" s="11">
        <f t="shared" si="23"/>
        <v>2026</v>
      </c>
      <c r="L297" s="11" t="s">
        <v>25</v>
      </c>
      <c r="M297" s="11" t="s">
        <v>17</v>
      </c>
    </row>
    <row r="298" spans="1:13" x14ac:dyDescent="0.25">
      <c r="A298" s="6">
        <v>46119.25</v>
      </c>
      <c r="B298" s="11">
        <f t="shared" si="21"/>
        <v>4</v>
      </c>
      <c r="C298" s="11">
        <f t="shared" si="22"/>
        <v>15</v>
      </c>
      <c r="D298" s="5" t="s">
        <v>13</v>
      </c>
      <c r="E298" s="11" t="s">
        <v>14</v>
      </c>
      <c r="F298" s="9" t="s">
        <v>15</v>
      </c>
      <c r="G298" s="11">
        <v>1</v>
      </c>
      <c r="J298" s="7">
        <v>6.8650000000000002</v>
      </c>
      <c r="K298" s="11">
        <f t="shared" si="23"/>
        <v>2026</v>
      </c>
      <c r="L298" s="11" t="s">
        <v>25</v>
      </c>
      <c r="M298" s="11" t="s">
        <v>17</v>
      </c>
    </row>
    <row r="299" spans="1:13" x14ac:dyDescent="0.25">
      <c r="A299" s="6">
        <v>46119.25</v>
      </c>
      <c r="B299" s="11">
        <f t="shared" si="21"/>
        <v>4</v>
      </c>
      <c r="C299" s="11">
        <f t="shared" si="22"/>
        <v>15</v>
      </c>
      <c r="D299" s="5" t="s">
        <v>13</v>
      </c>
      <c r="E299" s="11" t="s">
        <v>14</v>
      </c>
      <c r="F299" s="9" t="s">
        <v>15</v>
      </c>
      <c r="G299" s="11">
        <v>1</v>
      </c>
      <c r="J299" s="7">
        <v>0.85799999999999998</v>
      </c>
      <c r="K299" s="11">
        <f t="shared" si="23"/>
        <v>2026</v>
      </c>
      <c r="L299" s="11" t="s">
        <v>25</v>
      </c>
      <c r="M299" s="11" t="s">
        <v>17</v>
      </c>
    </row>
    <row r="300" spans="1:13" x14ac:dyDescent="0.25">
      <c r="A300" s="6">
        <v>46119.25</v>
      </c>
      <c r="B300" s="11">
        <f t="shared" si="21"/>
        <v>4</v>
      </c>
      <c r="C300" s="11">
        <f t="shared" si="22"/>
        <v>15</v>
      </c>
      <c r="D300" s="5" t="s">
        <v>13</v>
      </c>
      <c r="E300" s="11" t="s">
        <v>14</v>
      </c>
      <c r="F300" s="9" t="s">
        <v>15</v>
      </c>
      <c r="G300" s="11">
        <v>1</v>
      </c>
      <c r="J300" s="7">
        <v>4.33</v>
      </c>
      <c r="K300" s="11">
        <f t="shared" si="23"/>
        <v>2026</v>
      </c>
      <c r="L300" s="11" t="s">
        <v>25</v>
      </c>
      <c r="M300" s="11" t="s">
        <v>17</v>
      </c>
    </row>
    <row r="301" spans="1:13" x14ac:dyDescent="0.25">
      <c r="A301" s="6">
        <v>46119.25</v>
      </c>
      <c r="B301" s="11">
        <f t="shared" si="21"/>
        <v>4</v>
      </c>
      <c r="C301" s="11">
        <f t="shared" si="22"/>
        <v>15</v>
      </c>
      <c r="D301" s="5" t="s">
        <v>13</v>
      </c>
      <c r="E301" s="11" t="s">
        <v>14</v>
      </c>
      <c r="F301" s="9" t="s">
        <v>15</v>
      </c>
      <c r="G301" s="11">
        <v>1</v>
      </c>
      <c r="J301" s="7">
        <v>3.21</v>
      </c>
      <c r="K301" s="11">
        <f t="shared" si="23"/>
        <v>2026</v>
      </c>
      <c r="L301" s="11" t="s">
        <v>25</v>
      </c>
      <c r="M301" s="11" t="s">
        <v>17</v>
      </c>
    </row>
    <row r="302" spans="1:13" x14ac:dyDescent="0.25">
      <c r="A302" s="6">
        <v>46119.208333333336</v>
      </c>
      <c r="B302" s="11">
        <f t="shared" si="21"/>
        <v>4</v>
      </c>
      <c r="C302" s="11">
        <f t="shared" si="22"/>
        <v>15</v>
      </c>
      <c r="D302" s="5" t="s">
        <v>18</v>
      </c>
      <c r="E302" s="11" t="s">
        <v>14</v>
      </c>
      <c r="F302" s="9" t="s">
        <v>15</v>
      </c>
      <c r="G302" s="11">
        <v>1</v>
      </c>
      <c r="J302" s="7">
        <v>8.6310000000000002</v>
      </c>
      <c r="K302" s="11">
        <f t="shared" si="23"/>
        <v>2026</v>
      </c>
      <c r="L302" s="11" t="s">
        <v>25</v>
      </c>
      <c r="M302" s="11" t="s">
        <v>17</v>
      </c>
    </row>
    <row r="303" spans="1:13" x14ac:dyDescent="0.25">
      <c r="A303" s="6">
        <v>46123.291666666664</v>
      </c>
      <c r="B303" s="11">
        <f t="shared" si="21"/>
        <v>4</v>
      </c>
      <c r="C303" s="11">
        <f t="shared" si="22"/>
        <v>15</v>
      </c>
      <c r="D303" s="5" t="s">
        <v>13</v>
      </c>
      <c r="E303" s="11" t="s">
        <v>14</v>
      </c>
      <c r="F303" s="9" t="s">
        <v>15</v>
      </c>
      <c r="G303" s="11">
        <v>1</v>
      </c>
      <c r="J303" s="7">
        <v>1.248</v>
      </c>
      <c r="K303" s="11">
        <f t="shared" si="23"/>
        <v>2026</v>
      </c>
      <c r="L303" s="11" t="s">
        <v>25</v>
      </c>
      <c r="M303" s="11" t="s">
        <v>17</v>
      </c>
    </row>
    <row r="304" spans="1:13" x14ac:dyDescent="0.25">
      <c r="A304" s="6">
        <v>46119.25</v>
      </c>
      <c r="B304" s="11">
        <f t="shared" si="21"/>
        <v>4</v>
      </c>
      <c r="C304" s="11">
        <f t="shared" si="22"/>
        <v>15</v>
      </c>
      <c r="D304" s="5" t="s">
        <v>13</v>
      </c>
      <c r="E304" s="11" t="s">
        <v>14</v>
      </c>
      <c r="F304" s="9" t="s">
        <v>15</v>
      </c>
      <c r="G304" s="11">
        <v>1</v>
      </c>
      <c r="J304" s="7">
        <v>3.4000000000000002E-2</v>
      </c>
      <c r="K304" s="11">
        <f t="shared" si="23"/>
        <v>2026</v>
      </c>
      <c r="L304" s="11" t="s">
        <v>25</v>
      </c>
      <c r="M304" s="11" t="s">
        <v>17</v>
      </c>
    </row>
    <row r="305" spans="1:13" x14ac:dyDescent="0.25">
      <c r="A305" s="6">
        <v>46119.25</v>
      </c>
      <c r="B305" s="11">
        <f t="shared" si="21"/>
        <v>4</v>
      </c>
      <c r="C305" s="11">
        <f t="shared" si="22"/>
        <v>15</v>
      </c>
      <c r="D305" s="5" t="s">
        <v>13</v>
      </c>
      <c r="E305" s="11" t="s">
        <v>14</v>
      </c>
      <c r="F305" s="9" t="s">
        <v>15</v>
      </c>
      <c r="G305" s="11">
        <v>1</v>
      </c>
      <c r="J305" s="7">
        <v>3.4000000000000002E-2</v>
      </c>
      <c r="K305" s="11">
        <f t="shared" si="23"/>
        <v>2026</v>
      </c>
      <c r="L305" s="11" t="s">
        <v>25</v>
      </c>
      <c r="M305" s="11" t="s">
        <v>17</v>
      </c>
    </row>
    <row r="306" spans="1:13" x14ac:dyDescent="0.25">
      <c r="A306" s="6">
        <v>46119.25</v>
      </c>
      <c r="B306" s="11">
        <f t="shared" si="21"/>
        <v>4</v>
      </c>
      <c r="C306" s="11">
        <f t="shared" si="22"/>
        <v>15</v>
      </c>
      <c r="D306" s="5" t="s">
        <v>13</v>
      </c>
      <c r="E306" s="11" t="s">
        <v>14</v>
      </c>
      <c r="F306" s="9" t="s">
        <v>15</v>
      </c>
      <c r="G306" s="11">
        <v>1</v>
      </c>
      <c r="J306" s="7">
        <v>1.0999999999999999E-2</v>
      </c>
      <c r="K306" s="11">
        <f t="shared" si="23"/>
        <v>2026</v>
      </c>
      <c r="L306" s="11" t="s">
        <v>25</v>
      </c>
      <c r="M306" s="11" t="s">
        <v>17</v>
      </c>
    </row>
    <row r="307" spans="1:13" x14ac:dyDescent="0.25">
      <c r="A307" s="6">
        <v>46120.604166666664</v>
      </c>
      <c r="B307" s="11">
        <f t="shared" si="21"/>
        <v>4</v>
      </c>
      <c r="C307" s="11">
        <f t="shared" si="22"/>
        <v>15</v>
      </c>
      <c r="D307" s="5" t="s">
        <v>20</v>
      </c>
      <c r="E307" s="11" t="s">
        <v>14</v>
      </c>
      <c r="F307" s="9" t="s">
        <v>22</v>
      </c>
      <c r="G307" s="11">
        <v>1</v>
      </c>
      <c r="J307" s="7">
        <v>1.73</v>
      </c>
      <c r="K307" s="11">
        <f t="shared" si="23"/>
        <v>2026</v>
      </c>
      <c r="L307" s="11" t="s">
        <v>25</v>
      </c>
      <c r="M307" s="11" t="s">
        <v>17</v>
      </c>
    </row>
    <row r="308" spans="1:13" x14ac:dyDescent="0.25">
      <c r="A308" s="6">
        <v>46118</v>
      </c>
      <c r="B308" s="11">
        <f t="shared" si="21"/>
        <v>4</v>
      </c>
      <c r="C308" s="11">
        <f t="shared" si="22"/>
        <v>15</v>
      </c>
      <c r="D308" s="5" t="s">
        <v>19</v>
      </c>
      <c r="E308" s="11" t="s">
        <v>14</v>
      </c>
      <c r="F308" s="9" t="s">
        <v>22</v>
      </c>
      <c r="G308" s="11">
        <v>1</v>
      </c>
      <c r="J308" s="7">
        <v>0.95099999999999996</v>
      </c>
      <c r="K308" s="11">
        <f t="shared" si="23"/>
        <v>2026</v>
      </c>
      <c r="L308" s="11" t="s">
        <v>25</v>
      </c>
      <c r="M308" s="11" t="s">
        <v>17</v>
      </c>
    </row>
    <row r="309" spans="1:13" x14ac:dyDescent="0.25">
      <c r="A309" s="6">
        <v>46117.625</v>
      </c>
      <c r="B309" s="11">
        <f t="shared" si="21"/>
        <v>4</v>
      </c>
      <c r="C309" s="11">
        <f t="shared" si="22"/>
        <v>15</v>
      </c>
      <c r="D309" s="5" t="s">
        <v>13</v>
      </c>
      <c r="E309" s="11" t="s">
        <v>14</v>
      </c>
      <c r="F309" s="9" t="s">
        <v>15</v>
      </c>
      <c r="G309" s="11">
        <v>1</v>
      </c>
      <c r="J309" s="7">
        <v>1.4550000000000001</v>
      </c>
      <c r="K309" s="11">
        <f t="shared" si="23"/>
        <v>2026</v>
      </c>
      <c r="L309" s="11" t="s">
        <v>25</v>
      </c>
      <c r="M309" s="11" t="s">
        <v>17</v>
      </c>
    </row>
    <row r="310" spans="1:13" x14ac:dyDescent="0.25">
      <c r="A310" s="6">
        <v>46123</v>
      </c>
      <c r="B310" s="11">
        <f t="shared" si="21"/>
        <v>4</v>
      </c>
      <c r="C310" s="11">
        <f t="shared" si="22"/>
        <v>15</v>
      </c>
      <c r="D310" s="5" t="s">
        <v>18</v>
      </c>
      <c r="E310" s="11" t="s">
        <v>14</v>
      </c>
      <c r="F310" s="9" t="s">
        <v>22</v>
      </c>
      <c r="G310" s="11">
        <v>1</v>
      </c>
      <c r="J310" s="7">
        <v>0.93</v>
      </c>
      <c r="K310" s="11">
        <f t="shared" si="23"/>
        <v>2026</v>
      </c>
      <c r="L310" s="11" t="s">
        <v>25</v>
      </c>
      <c r="M310" s="11" t="s">
        <v>17</v>
      </c>
    </row>
    <row r="311" spans="1:13" x14ac:dyDescent="0.25">
      <c r="A311" s="6">
        <v>46119.25</v>
      </c>
      <c r="B311" s="11">
        <f t="shared" si="21"/>
        <v>4</v>
      </c>
      <c r="C311" s="11">
        <f t="shared" si="22"/>
        <v>15</v>
      </c>
      <c r="D311" s="5" t="s">
        <v>18</v>
      </c>
      <c r="E311" s="11" t="s">
        <v>14</v>
      </c>
      <c r="F311" s="9" t="s">
        <v>15</v>
      </c>
      <c r="G311" s="11">
        <v>1</v>
      </c>
      <c r="J311" s="7">
        <v>2.2850000000000001</v>
      </c>
      <c r="K311" s="11">
        <f t="shared" si="23"/>
        <v>2026</v>
      </c>
      <c r="L311" s="11" t="s">
        <v>25</v>
      </c>
      <c r="M311" s="11" t="s">
        <v>17</v>
      </c>
    </row>
    <row r="312" spans="1:13" x14ac:dyDescent="0.25">
      <c r="A312" s="6">
        <v>46119.25</v>
      </c>
      <c r="B312" s="11">
        <f t="shared" si="21"/>
        <v>4</v>
      </c>
      <c r="C312" s="11">
        <f t="shared" si="22"/>
        <v>15</v>
      </c>
      <c r="D312" s="5" t="s">
        <v>18</v>
      </c>
      <c r="E312" s="11" t="s">
        <v>14</v>
      </c>
      <c r="F312" s="9" t="s">
        <v>15</v>
      </c>
      <c r="G312" s="11">
        <v>1</v>
      </c>
      <c r="J312" s="7">
        <v>1.663</v>
      </c>
      <c r="K312" s="11">
        <f t="shared" si="23"/>
        <v>2026</v>
      </c>
      <c r="L312" s="11" t="s">
        <v>25</v>
      </c>
      <c r="M312" s="11" t="s">
        <v>17</v>
      </c>
    </row>
    <row r="313" spans="1:13" x14ac:dyDescent="0.25">
      <c r="A313" s="6">
        <v>46120.125</v>
      </c>
      <c r="B313" s="11">
        <f t="shared" si="21"/>
        <v>4</v>
      </c>
      <c r="C313" s="11">
        <f t="shared" si="22"/>
        <v>15</v>
      </c>
      <c r="D313" s="5" t="s">
        <v>13</v>
      </c>
      <c r="E313" s="11" t="s">
        <v>14</v>
      </c>
      <c r="F313" s="9" t="s">
        <v>15</v>
      </c>
      <c r="G313" s="11">
        <v>1</v>
      </c>
      <c r="J313" s="7">
        <v>0.248</v>
      </c>
      <c r="K313" s="11">
        <f t="shared" si="23"/>
        <v>2026</v>
      </c>
      <c r="L313" s="11" t="s">
        <v>25</v>
      </c>
      <c r="M313" s="11" t="s">
        <v>17</v>
      </c>
    </row>
    <row r="314" spans="1:13" x14ac:dyDescent="0.25">
      <c r="A314" s="6">
        <v>46123.291666666664</v>
      </c>
      <c r="B314" s="11">
        <f t="shared" si="21"/>
        <v>4</v>
      </c>
      <c r="C314" s="11">
        <f t="shared" si="22"/>
        <v>15</v>
      </c>
      <c r="D314" s="5" t="s">
        <v>13</v>
      </c>
      <c r="E314" s="11" t="s">
        <v>14</v>
      </c>
      <c r="F314" s="9" t="s">
        <v>15</v>
      </c>
      <c r="G314" s="11">
        <v>1</v>
      </c>
      <c r="J314" s="7">
        <v>5.4720000000000004</v>
      </c>
      <c r="K314" s="11">
        <f t="shared" si="23"/>
        <v>2026</v>
      </c>
      <c r="L314" s="11" t="s">
        <v>25</v>
      </c>
      <c r="M314" s="11" t="s">
        <v>17</v>
      </c>
    </row>
    <row r="418149" spans="1:13" x14ac:dyDescent="0.25">
      <c r="A418149" s="6">
        <v>46126.375</v>
      </c>
      <c r="B418149" s="11">
        <f t="shared" ref="B418149" si="24">MONTH(A418149)</f>
        <v>4</v>
      </c>
      <c r="C418149" s="11">
        <f t="shared" ref="C418149" si="25">WEEKNUM(A418149)</f>
        <v>16</v>
      </c>
      <c r="D418149" s="5" t="s">
        <v>18</v>
      </c>
      <c r="E418149" s="11" t="s">
        <v>14</v>
      </c>
      <c r="F418149" s="9" t="s">
        <v>15</v>
      </c>
      <c r="G418149" s="11">
        <v>1</v>
      </c>
      <c r="J418149" s="7">
        <v>14.483000000000001</v>
      </c>
      <c r="K418149" s="11">
        <f t="shared" ref="K418149" si="26">YEAR(A418149)</f>
        <v>2026</v>
      </c>
      <c r="L418149" s="11" t="s">
        <v>16</v>
      </c>
      <c r="M418149" s="11" t="s">
        <v>17</v>
      </c>
    </row>
    <row r="418150" spans="1:13" x14ac:dyDescent="0.25">
      <c r="A418150" s="6">
        <v>46126.541666666664</v>
      </c>
      <c r="B418150" s="11">
        <f t="shared" ref="B418150:B418213" si="27">MONTH(A418150)</f>
        <v>4</v>
      </c>
      <c r="C418150" s="11">
        <f t="shared" ref="C418150:C418213" si="28">WEEKNUM(A418150)</f>
        <v>16</v>
      </c>
      <c r="D418150" s="5" t="s">
        <v>18</v>
      </c>
      <c r="E418150" s="11" t="s">
        <v>14</v>
      </c>
      <c r="F418150" s="9" t="s">
        <v>15</v>
      </c>
      <c r="G418150" s="11">
        <v>1</v>
      </c>
      <c r="J418150" s="7">
        <v>2.6829999999999998</v>
      </c>
      <c r="K418150" s="11">
        <f t="shared" ref="K418150:K418213" si="29">YEAR(A418150)</f>
        <v>2026</v>
      </c>
      <c r="L418150" s="11" t="s">
        <v>16</v>
      </c>
      <c r="M418150" s="11" t="s">
        <v>17</v>
      </c>
    </row>
    <row r="418151" spans="1:13" x14ac:dyDescent="0.25">
      <c r="A418151" s="6">
        <v>46128.166666666664</v>
      </c>
      <c r="B418151" s="11">
        <f t="shared" si="27"/>
        <v>4</v>
      </c>
      <c r="C418151" s="11">
        <f t="shared" si="28"/>
        <v>16</v>
      </c>
      <c r="D418151" s="5" t="s">
        <v>18</v>
      </c>
      <c r="E418151" s="11" t="s">
        <v>14</v>
      </c>
      <c r="F418151" s="9" t="s">
        <v>22</v>
      </c>
      <c r="G418151" s="11">
        <v>1</v>
      </c>
      <c r="J418151" s="7">
        <v>1.276</v>
      </c>
      <c r="K418151" s="11">
        <f t="shared" si="29"/>
        <v>2026</v>
      </c>
      <c r="L418151" s="11" t="s">
        <v>16</v>
      </c>
      <c r="M418151" s="11" t="s">
        <v>17</v>
      </c>
    </row>
    <row r="418152" spans="1:13" x14ac:dyDescent="0.25">
      <c r="A418152" s="6">
        <v>46126.375</v>
      </c>
      <c r="B418152" s="11">
        <f t="shared" si="27"/>
        <v>4</v>
      </c>
      <c r="C418152" s="11">
        <f t="shared" si="28"/>
        <v>16</v>
      </c>
      <c r="D418152" s="5" t="s">
        <v>18</v>
      </c>
      <c r="E418152" s="11" t="s">
        <v>14</v>
      </c>
      <c r="F418152" s="9" t="s">
        <v>15</v>
      </c>
      <c r="G418152" s="11">
        <v>1</v>
      </c>
      <c r="J418152" s="7">
        <v>0.23</v>
      </c>
      <c r="K418152" s="11">
        <f t="shared" si="29"/>
        <v>2026</v>
      </c>
      <c r="L418152" s="11" t="s">
        <v>16</v>
      </c>
      <c r="M418152" s="11" t="s">
        <v>17</v>
      </c>
    </row>
    <row r="418153" spans="1:13" x14ac:dyDescent="0.25">
      <c r="A418153" s="6">
        <v>46126.088194444441</v>
      </c>
      <c r="B418153" s="11">
        <f t="shared" si="27"/>
        <v>4</v>
      </c>
      <c r="C418153" s="11">
        <f t="shared" si="28"/>
        <v>16</v>
      </c>
      <c r="D418153" s="5" t="s">
        <v>18</v>
      </c>
      <c r="E418153" s="11" t="s">
        <v>14</v>
      </c>
      <c r="F418153" s="9" t="s">
        <v>15</v>
      </c>
      <c r="G418153" s="11">
        <v>1</v>
      </c>
      <c r="J418153" s="7">
        <v>2.83</v>
      </c>
      <c r="K418153" s="11">
        <f t="shared" si="29"/>
        <v>2026</v>
      </c>
      <c r="L418153" s="11" t="s">
        <v>16</v>
      </c>
      <c r="M418153" s="11" t="s">
        <v>17</v>
      </c>
    </row>
    <row r="418154" spans="1:13" x14ac:dyDescent="0.25">
      <c r="A418154" s="6">
        <v>46125.583333333336</v>
      </c>
      <c r="B418154" s="11">
        <f t="shared" si="27"/>
        <v>4</v>
      </c>
      <c r="C418154" s="11">
        <f t="shared" si="28"/>
        <v>16</v>
      </c>
      <c r="D418154" s="5" t="s">
        <v>18</v>
      </c>
      <c r="E418154" s="11" t="s">
        <v>14</v>
      </c>
      <c r="F418154" s="9" t="s">
        <v>15</v>
      </c>
      <c r="G418154" s="11">
        <v>1</v>
      </c>
      <c r="J418154" s="7">
        <v>5.2</v>
      </c>
      <c r="K418154" s="11">
        <f t="shared" si="29"/>
        <v>2026</v>
      </c>
      <c r="L418154" s="11" t="s">
        <v>16</v>
      </c>
      <c r="M418154" s="11" t="s">
        <v>17</v>
      </c>
    </row>
    <row r="418155" spans="1:13" x14ac:dyDescent="0.25">
      <c r="A418155" s="6">
        <v>46128.166666666664</v>
      </c>
      <c r="B418155" s="11">
        <f t="shared" si="27"/>
        <v>4</v>
      </c>
      <c r="C418155" s="11">
        <f t="shared" si="28"/>
        <v>16</v>
      </c>
      <c r="D418155" s="5" t="s">
        <v>18</v>
      </c>
      <c r="E418155" s="11" t="s">
        <v>14</v>
      </c>
      <c r="F418155" s="9" t="s">
        <v>22</v>
      </c>
      <c r="G418155" s="11">
        <v>1</v>
      </c>
      <c r="J418155" s="7">
        <v>2.988</v>
      </c>
      <c r="K418155" s="11">
        <f t="shared" si="29"/>
        <v>2026</v>
      </c>
      <c r="L418155" s="11" t="s">
        <v>16</v>
      </c>
      <c r="M418155" s="11" t="s">
        <v>17</v>
      </c>
    </row>
    <row r="418156" spans="1:13" x14ac:dyDescent="0.25">
      <c r="A418156" s="6">
        <v>46128.166666666664</v>
      </c>
      <c r="B418156" s="11">
        <f t="shared" si="27"/>
        <v>4</v>
      </c>
      <c r="C418156" s="11">
        <f t="shared" si="28"/>
        <v>16</v>
      </c>
      <c r="D418156" s="5" t="s">
        <v>18</v>
      </c>
      <c r="E418156" s="11" t="s">
        <v>14</v>
      </c>
      <c r="F418156" s="9" t="s">
        <v>22</v>
      </c>
      <c r="G418156" s="11">
        <v>1</v>
      </c>
      <c r="J418156" s="7">
        <v>2.5529999999999999</v>
      </c>
      <c r="K418156" s="11">
        <f t="shared" si="29"/>
        <v>2026</v>
      </c>
      <c r="L418156" s="11" t="s">
        <v>16</v>
      </c>
      <c r="M418156" s="11" t="s">
        <v>17</v>
      </c>
    </row>
    <row r="418157" spans="1:13" x14ac:dyDescent="0.25">
      <c r="A418157" s="6">
        <v>46126.541666666664</v>
      </c>
      <c r="B418157" s="11">
        <f t="shared" si="27"/>
        <v>4</v>
      </c>
      <c r="C418157" s="11">
        <f t="shared" si="28"/>
        <v>16</v>
      </c>
      <c r="D418157" s="5" t="s">
        <v>18</v>
      </c>
      <c r="E418157" s="11" t="s">
        <v>14</v>
      </c>
      <c r="F418157" s="9" t="s">
        <v>15</v>
      </c>
      <c r="G418157" s="11">
        <v>1</v>
      </c>
      <c r="J418157" s="7">
        <v>8.4000000000000005E-2</v>
      </c>
      <c r="K418157" s="11">
        <f t="shared" si="29"/>
        <v>2026</v>
      </c>
      <c r="L418157" s="11" t="s">
        <v>16</v>
      </c>
      <c r="M418157" s="11" t="s">
        <v>17</v>
      </c>
    </row>
    <row r="418158" spans="1:13" x14ac:dyDescent="0.25">
      <c r="A418158" s="6">
        <v>46129.041666666664</v>
      </c>
      <c r="B418158" s="11">
        <f t="shared" si="27"/>
        <v>4</v>
      </c>
      <c r="C418158" s="11">
        <f t="shared" si="28"/>
        <v>16</v>
      </c>
      <c r="D418158" s="5" t="s">
        <v>18</v>
      </c>
      <c r="E418158" s="11" t="s">
        <v>14</v>
      </c>
      <c r="F418158" s="9" t="s">
        <v>22</v>
      </c>
      <c r="G418158" s="11">
        <v>1</v>
      </c>
      <c r="J418158" s="7">
        <v>0.54700000000000004</v>
      </c>
      <c r="K418158" s="11">
        <f t="shared" si="29"/>
        <v>2026</v>
      </c>
      <c r="L418158" s="11" t="s">
        <v>16</v>
      </c>
      <c r="M418158" s="11" t="s">
        <v>17</v>
      </c>
    </row>
    <row r="418159" spans="1:13" x14ac:dyDescent="0.25">
      <c r="A418159" s="6">
        <v>46126.541666666664</v>
      </c>
      <c r="B418159" s="11">
        <f t="shared" si="27"/>
        <v>4</v>
      </c>
      <c r="C418159" s="11">
        <f t="shared" si="28"/>
        <v>16</v>
      </c>
      <c r="D418159" s="5" t="s">
        <v>18</v>
      </c>
      <c r="E418159" s="11" t="s">
        <v>14</v>
      </c>
      <c r="F418159" s="9" t="s">
        <v>15</v>
      </c>
      <c r="G418159" s="11">
        <v>1</v>
      </c>
      <c r="J418159" s="7">
        <v>3.5259999999999998</v>
      </c>
      <c r="K418159" s="11">
        <f t="shared" si="29"/>
        <v>2026</v>
      </c>
      <c r="L418159" s="11" t="s">
        <v>16</v>
      </c>
      <c r="M418159" s="11" t="s">
        <v>17</v>
      </c>
    </row>
    <row r="418160" spans="1:13" x14ac:dyDescent="0.25">
      <c r="A418160" s="6">
        <v>46127.027777777781</v>
      </c>
      <c r="B418160" s="11">
        <f t="shared" si="27"/>
        <v>4</v>
      </c>
      <c r="C418160" s="11">
        <f t="shared" si="28"/>
        <v>16</v>
      </c>
      <c r="D418160" s="5" t="s">
        <v>18</v>
      </c>
      <c r="E418160" s="11" t="s">
        <v>14</v>
      </c>
      <c r="F418160" s="9" t="s">
        <v>22</v>
      </c>
      <c r="G418160" s="11">
        <v>1</v>
      </c>
      <c r="J418160" s="7">
        <v>1.8240000000000001</v>
      </c>
      <c r="K418160" s="11">
        <f t="shared" si="29"/>
        <v>2026</v>
      </c>
      <c r="L418160" s="11" t="s">
        <v>16</v>
      </c>
      <c r="M418160" s="11" t="s">
        <v>17</v>
      </c>
    </row>
    <row r="418161" spans="1:13" x14ac:dyDescent="0.25">
      <c r="A418161" s="6">
        <v>46128.166666666664</v>
      </c>
      <c r="B418161" s="11">
        <f t="shared" si="27"/>
        <v>4</v>
      </c>
      <c r="C418161" s="11">
        <f t="shared" si="28"/>
        <v>16</v>
      </c>
      <c r="D418161" s="5" t="s">
        <v>18</v>
      </c>
      <c r="E418161" s="11" t="s">
        <v>14</v>
      </c>
      <c r="F418161" s="9" t="s">
        <v>22</v>
      </c>
      <c r="G418161" s="11">
        <v>1</v>
      </c>
      <c r="J418161" s="7">
        <v>0.39200000000000002</v>
      </c>
      <c r="K418161" s="11">
        <f t="shared" si="29"/>
        <v>2026</v>
      </c>
      <c r="L418161" s="11" t="s">
        <v>16</v>
      </c>
      <c r="M418161" s="11" t="s">
        <v>17</v>
      </c>
    </row>
    <row r="418162" spans="1:13" x14ac:dyDescent="0.25">
      <c r="A418162" s="6">
        <v>46128.166666666664</v>
      </c>
      <c r="B418162" s="11">
        <f t="shared" si="27"/>
        <v>4</v>
      </c>
      <c r="C418162" s="11">
        <f t="shared" si="28"/>
        <v>16</v>
      </c>
      <c r="D418162" s="5" t="s">
        <v>18</v>
      </c>
      <c r="E418162" s="11" t="s">
        <v>14</v>
      </c>
      <c r="F418162" s="9" t="s">
        <v>22</v>
      </c>
      <c r="G418162" s="11">
        <v>1</v>
      </c>
      <c r="J418162" s="7">
        <v>2.1309999999999998</v>
      </c>
      <c r="K418162" s="11">
        <f t="shared" si="29"/>
        <v>2026</v>
      </c>
      <c r="L418162" s="11" t="s">
        <v>16</v>
      </c>
      <c r="M418162" s="11" t="s">
        <v>17</v>
      </c>
    </row>
    <row r="418163" spans="1:13" x14ac:dyDescent="0.25">
      <c r="A418163" s="6">
        <v>46128.166666666664</v>
      </c>
      <c r="B418163" s="11">
        <f t="shared" si="27"/>
        <v>4</v>
      </c>
      <c r="C418163" s="11">
        <f t="shared" si="28"/>
        <v>16</v>
      </c>
      <c r="D418163" s="5" t="s">
        <v>18</v>
      </c>
      <c r="E418163" s="11" t="s">
        <v>14</v>
      </c>
      <c r="F418163" s="9" t="s">
        <v>22</v>
      </c>
      <c r="G418163" s="11">
        <v>1</v>
      </c>
      <c r="J418163" s="7">
        <v>0.99</v>
      </c>
      <c r="K418163" s="11">
        <f t="shared" si="29"/>
        <v>2026</v>
      </c>
      <c r="L418163" s="11" t="s">
        <v>16</v>
      </c>
      <c r="M418163" s="11" t="s">
        <v>17</v>
      </c>
    </row>
    <row r="418164" spans="1:13" x14ac:dyDescent="0.25">
      <c r="A418164" s="6">
        <v>46126.541666666664</v>
      </c>
      <c r="B418164" s="11">
        <f t="shared" si="27"/>
        <v>4</v>
      </c>
      <c r="C418164" s="11">
        <f t="shared" si="28"/>
        <v>16</v>
      </c>
      <c r="D418164" s="5" t="s">
        <v>18</v>
      </c>
      <c r="E418164" s="11" t="s">
        <v>14</v>
      </c>
      <c r="F418164" s="9" t="s">
        <v>22</v>
      </c>
      <c r="G418164" s="11">
        <v>1</v>
      </c>
      <c r="J418164" s="7">
        <v>2.0910000000000002</v>
      </c>
      <c r="K418164" s="11">
        <f t="shared" si="29"/>
        <v>2026</v>
      </c>
      <c r="L418164" s="11" t="s">
        <v>16</v>
      </c>
      <c r="M418164" s="11" t="s">
        <v>17</v>
      </c>
    </row>
    <row r="418165" spans="1:13" x14ac:dyDescent="0.25">
      <c r="A418165" s="6">
        <v>46127</v>
      </c>
      <c r="B418165" s="11">
        <f t="shared" si="27"/>
        <v>4</v>
      </c>
      <c r="C418165" s="11">
        <f t="shared" si="28"/>
        <v>16</v>
      </c>
      <c r="D418165" s="5" t="s">
        <v>18</v>
      </c>
      <c r="E418165" s="11" t="s">
        <v>14</v>
      </c>
      <c r="F418165" s="9" t="s">
        <v>22</v>
      </c>
      <c r="G418165" s="11">
        <v>1</v>
      </c>
      <c r="J418165" s="7">
        <v>3.36</v>
      </c>
      <c r="K418165" s="11">
        <f t="shared" si="29"/>
        <v>2026</v>
      </c>
      <c r="L418165" s="11" t="s">
        <v>16</v>
      </c>
      <c r="M418165" s="11" t="s">
        <v>17</v>
      </c>
    </row>
    <row r="418166" spans="1:13" x14ac:dyDescent="0.25">
      <c r="A418166" s="6">
        <v>46127</v>
      </c>
      <c r="B418166" s="11">
        <f t="shared" si="27"/>
        <v>4</v>
      </c>
      <c r="C418166" s="11">
        <f t="shared" si="28"/>
        <v>16</v>
      </c>
      <c r="D418166" s="5" t="s">
        <v>18</v>
      </c>
      <c r="E418166" s="11" t="s">
        <v>14</v>
      </c>
      <c r="F418166" s="9" t="s">
        <v>22</v>
      </c>
      <c r="G418166" s="11">
        <v>1</v>
      </c>
      <c r="J418166" s="7">
        <v>2.016</v>
      </c>
      <c r="K418166" s="11">
        <f t="shared" si="29"/>
        <v>2026</v>
      </c>
      <c r="L418166" s="11" t="s">
        <v>16</v>
      </c>
      <c r="M418166" s="11" t="s">
        <v>17</v>
      </c>
    </row>
    <row r="418167" spans="1:13" x14ac:dyDescent="0.25">
      <c r="A418167" s="6">
        <v>46127</v>
      </c>
      <c r="B418167" s="11">
        <f t="shared" si="27"/>
        <v>4</v>
      </c>
      <c r="C418167" s="11">
        <f t="shared" si="28"/>
        <v>16</v>
      </c>
      <c r="D418167" s="5" t="s">
        <v>18</v>
      </c>
      <c r="E418167" s="11" t="s">
        <v>14</v>
      </c>
      <c r="F418167" s="9" t="s">
        <v>22</v>
      </c>
      <c r="G418167" s="11">
        <v>1</v>
      </c>
      <c r="J418167" s="7">
        <v>1.3440000000000001</v>
      </c>
      <c r="K418167" s="11">
        <f t="shared" si="29"/>
        <v>2026</v>
      </c>
      <c r="L418167" s="11" t="s">
        <v>16</v>
      </c>
      <c r="M418167" s="11" t="s">
        <v>17</v>
      </c>
    </row>
    <row r="418168" spans="1:13" x14ac:dyDescent="0.25">
      <c r="A418168" s="6">
        <v>46128.166666666664</v>
      </c>
      <c r="B418168" s="11">
        <f t="shared" si="27"/>
        <v>4</v>
      </c>
      <c r="C418168" s="11">
        <f t="shared" si="28"/>
        <v>16</v>
      </c>
      <c r="D418168" s="5" t="s">
        <v>18</v>
      </c>
      <c r="E418168" s="11" t="s">
        <v>14</v>
      </c>
      <c r="F418168" s="9" t="s">
        <v>22</v>
      </c>
      <c r="G418168" s="11">
        <v>1</v>
      </c>
      <c r="J418168" s="7">
        <v>3.456</v>
      </c>
      <c r="K418168" s="11">
        <f t="shared" si="29"/>
        <v>2026</v>
      </c>
      <c r="L418168" s="11" t="s">
        <v>16</v>
      </c>
      <c r="M418168" s="11" t="s">
        <v>17</v>
      </c>
    </row>
    <row r="418169" spans="1:13" x14ac:dyDescent="0.25">
      <c r="A418169" s="6">
        <v>46125.583333333336</v>
      </c>
      <c r="B418169" s="11">
        <f t="shared" si="27"/>
        <v>4</v>
      </c>
      <c r="C418169" s="11">
        <f t="shared" si="28"/>
        <v>16</v>
      </c>
      <c r="D418169" s="5" t="s">
        <v>18</v>
      </c>
      <c r="E418169" s="11" t="s">
        <v>14</v>
      </c>
      <c r="F418169" s="9" t="s">
        <v>15</v>
      </c>
      <c r="G418169" s="11">
        <v>1</v>
      </c>
      <c r="J418169" s="7">
        <v>6.48</v>
      </c>
      <c r="K418169" s="11">
        <f t="shared" si="29"/>
        <v>2026</v>
      </c>
      <c r="L418169" s="11" t="s">
        <v>16</v>
      </c>
      <c r="M418169" s="11" t="s">
        <v>17</v>
      </c>
    </row>
    <row r="418170" spans="1:13" x14ac:dyDescent="0.25">
      <c r="A418170" s="6">
        <v>46128.166666666664</v>
      </c>
      <c r="B418170" s="11">
        <f t="shared" si="27"/>
        <v>4</v>
      </c>
      <c r="C418170" s="11">
        <f t="shared" si="28"/>
        <v>16</v>
      </c>
      <c r="D418170" s="5" t="s">
        <v>18</v>
      </c>
      <c r="E418170" s="11" t="s">
        <v>14</v>
      </c>
      <c r="F418170" s="9" t="s">
        <v>22</v>
      </c>
      <c r="G418170" s="11">
        <v>1</v>
      </c>
      <c r="J418170" s="7">
        <v>4.141</v>
      </c>
      <c r="K418170" s="11">
        <f t="shared" si="29"/>
        <v>2026</v>
      </c>
      <c r="L418170" s="11" t="s">
        <v>16</v>
      </c>
      <c r="M418170" s="11" t="s">
        <v>17</v>
      </c>
    </row>
    <row r="418171" spans="1:13" x14ac:dyDescent="0.25">
      <c r="A418171" s="6">
        <v>46126.088194444441</v>
      </c>
      <c r="B418171" s="11">
        <f t="shared" si="27"/>
        <v>4</v>
      </c>
      <c r="C418171" s="11">
        <f t="shared" si="28"/>
        <v>16</v>
      </c>
      <c r="D418171" s="5" t="s">
        <v>18</v>
      </c>
      <c r="E418171" s="11" t="s">
        <v>14</v>
      </c>
      <c r="F418171" s="9" t="s">
        <v>15</v>
      </c>
      <c r="G418171" s="11">
        <v>1</v>
      </c>
      <c r="J418171" s="7">
        <v>1.89</v>
      </c>
      <c r="K418171" s="11">
        <f t="shared" si="29"/>
        <v>2026</v>
      </c>
      <c r="L418171" s="11" t="s">
        <v>16</v>
      </c>
      <c r="M418171" s="11" t="s">
        <v>17</v>
      </c>
    </row>
    <row r="418172" spans="1:13" x14ac:dyDescent="0.25">
      <c r="A418172" s="6">
        <v>46127</v>
      </c>
      <c r="B418172" s="11">
        <f t="shared" si="27"/>
        <v>4</v>
      </c>
      <c r="C418172" s="11">
        <f t="shared" si="28"/>
        <v>16</v>
      </c>
      <c r="D418172" s="5" t="s">
        <v>18</v>
      </c>
      <c r="E418172" s="11" t="s">
        <v>14</v>
      </c>
      <c r="F418172" s="9" t="s">
        <v>22</v>
      </c>
      <c r="G418172" s="11">
        <v>1</v>
      </c>
      <c r="J418172" s="7">
        <v>2.016</v>
      </c>
      <c r="K418172" s="11">
        <f t="shared" si="29"/>
        <v>2026</v>
      </c>
      <c r="L418172" s="11" t="s">
        <v>16</v>
      </c>
      <c r="M418172" s="11" t="s">
        <v>17</v>
      </c>
    </row>
    <row r="418173" spans="1:13" x14ac:dyDescent="0.25">
      <c r="A418173" s="6">
        <v>46127</v>
      </c>
      <c r="B418173" s="11">
        <f t="shared" si="27"/>
        <v>4</v>
      </c>
      <c r="C418173" s="11">
        <f t="shared" si="28"/>
        <v>16</v>
      </c>
      <c r="D418173" s="5" t="s">
        <v>18</v>
      </c>
      <c r="E418173" s="11" t="s">
        <v>14</v>
      </c>
      <c r="F418173" s="9" t="s">
        <v>22</v>
      </c>
      <c r="G418173" s="11">
        <v>1</v>
      </c>
      <c r="J418173" s="7">
        <v>0.67200000000000004</v>
      </c>
      <c r="K418173" s="11">
        <f t="shared" si="29"/>
        <v>2026</v>
      </c>
      <c r="L418173" s="11" t="s">
        <v>16</v>
      </c>
      <c r="M418173" s="11" t="s">
        <v>17</v>
      </c>
    </row>
    <row r="418174" spans="1:13" x14ac:dyDescent="0.25">
      <c r="A418174" s="6">
        <v>46128.166666666664</v>
      </c>
      <c r="B418174" s="11">
        <f t="shared" si="27"/>
        <v>4</v>
      </c>
      <c r="C418174" s="11">
        <f t="shared" si="28"/>
        <v>16</v>
      </c>
      <c r="D418174" s="5" t="s">
        <v>18</v>
      </c>
      <c r="E418174" s="11" t="s">
        <v>14</v>
      </c>
      <c r="F418174" s="9" t="s">
        <v>22</v>
      </c>
      <c r="G418174" s="11">
        <v>1</v>
      </c>
      <c r="J418174" s="7">
        <v>1.3680000000000001</v>
      </c>
      <c r="K418174" s="11">
        <f t="shared" si="29"/>
        <v>2026</v>
      </c>
      <c r="L418174" s="11" t="s">
        <v>16</v>
      </c>
      <c r="M418174" s="11" t="s">
        <v>17</v>
      </c>
    </row>
    <row r="418175" spans="1:13" x14ac:dyDescent="0.25">
      <c r="A418175" s="6">
        <v>46126.541666666664</v>
      </c>
      <c r="B418175" s="11">
        <f t="shared" si="27"/>
        <v>4</v>
      </c>
      <c r="C418175" s="11">
        <f t="shared" si="28"/>
        <v>16</v>
      </c>
      <c r="D418175" s="5" t="s">
        <v>18</v>
      </c>
      <c r="E418175" s="11" t="s">
        <v>14</v>
      </c>
      <c r="F418175" s="9" t="s">
        <v>15</v>
      </c>
      <c r="G418175" s="11">
        <v>1</v>
      </c>
      <c r="J418175" s="7">
        <v>1.796</v>
      </c>
      <c r="K418175" s="11">
        <f t="shared" si="29"/>
        <v>2026</v>
      </c>
      <c r="L418175" s="11" t="s">
        <v>16</v>
      </c>
      <c r="M418175" s="11" t="s">
        <v>17</v>
      </c>
    </row>
    <row r="418176" spans="1:13" x14ac:dyDescent="0.25">
      <c r="A418176" s="6">
        <v>46126.40625</v>
      </c>
      <c r="B418176" s="11">
        <f t="shared" si="27"/>
        <v>4</v>
      </c>
      <c r="C418176" s="11">
        <f t="shared" si="28"/>
        <v>16</v>
      </c>
      <c r="D418176" s="5" t="s">
        <v>18</v>
      </c>
      <c r="E418176" s="11" t="s">
        <v>14</v>
      </c>
      <c r="F418176" s="9" t="s">
        <v>22</v>
      </c>
      <c r="G418176" s="11">
        <v>1</v>
      </c>
      <c r="J418176" s="7">
        <v>0.28000000000000003</v>
      </c>
      <c r="K418176" s="11">
        <f t="shared" si="29"/>
        <v>2026</v>
      </c>
      <c r="L418176" s="11" t="s">
        <v>16</v>
      </c>
      <c r="M418176" s="11" t="s">
        <v>17</v>
      </c>
    </row>
    <row r="418177" spans="1:13" x14ac:dyDescent="0.25">
      <c r="A418177" s="6">
        <v>46126.088194444441</v>
      </c>
      <c r="B418177" s="11">
        <f t="shared" si="27"/>
        <v>4</v>
      </c>
      <c r="C418177" s="11">
        <f t="shared" si="28"/>
        <v>16</v>
      </c>
      <c r="D418177" s="5" t="s">
        <v>18</v>
      </c>
      <c r="E418177" s="11" t="s">
        <v>14</v>
      </c>
      <c r="F418177" s="9" t="s">
        <v>15</v>
      </c>
      <c r="G418177" s="11">
        <v>1</v>
      </c>
      <c r="J418177" s="7">
        <v>5.5</v>
      </c>
      <c r="K418177" s="11">
        <f t="shared" si="29"/>
        <v>2026</v>
      </c>
      <c r="L418177" s="11" t="s">
        <v>16</v>
      </c>
      <c r="M418177" s="11" t="s">
        <v>17</v>
      </c>
    </row>
    <row r="418178" spans="1:13" x14ac:dyDescent="0.25">
      <c r="A418178" s="6">
        <v>46128.166666666664</v>
      </c>
      <c r="B418178" s="11">
        <f t="shared" si="27"/>
        <v>4</v>
      </c>
      <c r="C418178" s="11">
        <f t="shared" si="28"/>
        <v>16</v>
      </c>
      <c r="D418178" s="5" t="s">
        <v>18</v>
      </c>
      <c r="E418178" s="11" t="s">
        <v>14</v>
      </c>
      <c r="F418178" s="9" t="s">
        <v>22</v>
      </c>
      <c r="G418178" s="11">
        <v>1</v>
      </c>
      <c r="J418178" s="7">
        <v>1.276</v>
      </c>
      <c r="K418178" s="11">
        <f t="shared" si="29"/>
        <v>2026</v>
      </c>
      <c r="L418178" s="11" t="s">
        <v>16</v>
      </c>
      <c r="M418178" s="11" t="s">
        <v>17</v>
      </c>
    </row>
    <row r="418179" spans="1:13" x14ac:dyDescent="0.25">
      <c r="A418179" s="6">
        <v>46128.166666666664</v>
      </c>
      <c r="B418179" s="11">
        <f t="shared" si="27"/>
        <v>4</v>
      </c>
      <c r="C418179" s="11">
        <f t="shared" si="28"/>
        <v>16</v>
      </c>
      <c r="D418179" s="5" t="s">
        <v>18</v>
      </c>
      <c r="E418179" s="11" t="s">
        <v>14</v>
      </c>
      <c r="F418179" s="9" t="s">
        <v>22</v>
      </c>
      <c r="G418179" s="11">
        <v>1</v>
      </c>
      <c r="J418179" s="7">
        <v>1.3680000000000001</v>
      </c>
      <c r="K418179" s="11">
        <f t="shared" si="29"/>
        <v>2026</v>
      </c>
      <c r="L418179" s="11" t="s">
        <v>16</v>
      </c>
      <c r="M418179" s="11" t="s">
        <v>17</v>
      </c>
    </row>
    <row r="418180" spans="1:13" x14ac:dyDescent="0.25">
      <c r="A418180" s="6">
        <v>46129</v>
      </c>
      <c r="B418180" s="11">
        <f t="shared" si="27"/>
        <v>4</v>
      </c>
      <c r="C418180" s="11">
        <f t="shared" si="28"/>
        <v>16</v>
      </c>
      <c r="D418180" s="5" t="s">
        <v>18</v>
      </c>
      <c r="E418180" s="11" t="s">
        <v>14</v>
      </c>
      <c r="F418180" s="9" t="s">
        <v>22</v>
      </c>
      <c r="G418180" s="11">
        <v>1</v>
      </c>
      <c r="J418180" s="7">
        <v>1.18</v>
      </c>
      <c r="K418180" s="11">
        <f t="shared" si="29"/>
        <v>2026</v>
      </c>
      <c r="L418180" s="11" t="s">
        <v>16</v>
      </c>
      <c r="M418180" s="11" t="s">
        <v>17</v>
      </c>
    </row>
    <row r="418181" spans="1:13" x14ac:dyDescent="0.25">
      <c r="A418181" s="6">
        <v>46129</v>
      </c>
      <c r="B418181" s="11">
        <f t="shared" si="27"/>
        <v>4</v>
      </c>
      <c r="C418181" s="11">
        <f t="shared" si="28"/>
        <v>16</v>
      </c>
      <c r="D418181" s="5" t="s">
        <v>18</v>
      </c>
      <c r="E418181" s="11" t="s">
        <v>14</v>
      </c>
      <c r="F418181" s="9" t="s">
        <v>22</v>
      </c>
      <c r="G418181" s="11">
        <v>1</v>
      </c>
      <c r="J418181" s="7">
        <v>4.0000000000000001E-3</v>
      </c>
      <c r="K418181" s="11">
        <f t="shared" si="29"/>
        <v>2026</v>
      </c>
      <c r="L418181" s="11" t="s">
        <v>16</v>
      </c>
      <c r="M418181" s="11" t="s">
        <v>17</v>
      </c>
    </row>
    <row r="418182" spans="1:13" x14ac:dyDescent="0.25">
      <c r="A418182" s="6">
        <v>46126.541666666664</v>
      </c>
      <c r="B418182" s="11">
        <f t="shared" si="27"/>
        <v>4</v>
      </c>
      <c r="C418182" s="11">
        <f t="shared" si="28"/>
        <v>16</v>
      </c>
      <c r="D418182" s="5" t="s">
        <v>18</v>
      </c>
      <c r="E418182" s="11" t="s">
        <v>14</v>
      </c>
      <c r="F418182" s="9" t="s">
        <v>15</v>
      </c>
      <c r="G418182" s="11">
        <v>1</v>
      </c>
      <c r="J418182" s="7">
        <v>1.492</v>
      </c>
      <c r="K418182" s="11">
        <f t="shared" si="29"/>
        <v>2026</v>
      </c>
      <c r="L418182" s="11" t="s">
        <v>16</v>
      </c>
      <c r="M418182" s="11" t="s">
        <v>17</v>
      </c>
    </row>
    <row r="418183" spans="1:13" x14ac:dyDescent="0.25">
      <c r="A418183" s="6">
        <v>46129</v>
      </c>
      <c r="B418183" s="11">
        <f t="shared" si="27"/>
        <v>4</v>
      </c>
      <c r="C418183" s="11">
        <f t="shared" si="28"/>
        <v>16</v>
      </c>
      <c r="D418183" s="5" t="s">
        <v>18</v>
      </c>
      <c r="E418183" s="11" t="s">
        <v>14</v>
      </c>
      <c r="F418183" s="9" t="s">
        <v>22</v>
      </c>
      <c r="G418183" s="11">
        <v>1</v>
      </c>
      <c r="J418183" s="7">
        <v>9.4E-2</v>
      </c>
      <c r="K418183" s="11">
        <f t="shared" si="29"/>
        <v>2026</v>
      </c>
      <c r="L418183" s="11" t="s">
        <v>16</v>
      </c>
      <c r="M418183" s="11" t="s">
        <v>17</v>
      </c>
    </row>
    <row r="418184" spans="1:13" x14ac:dyDescent="0.25">
      <c r="A418184" s="6">
        <v>46127</v>
      </c>
      <c r="B418184" s="11">
        <f t="shared" si="27"/>
        <v>4</v>
      </c>
      <c r="C418184" s="11">
        <f t="shared" si="28"/>
        <v>16</v>
      </c>
      <c r="D418184" s="5" t="s">
        <v>18</v>
      </c>
      <c r="E418184" s="11" t="s">
        <v>14</v>
      </c>
      <c r="F418184" s="9" t="s">
        <v>22</v>
      </c>
      <c r="G418184" s="11">
        <v>1</v>
      </c>
      <c r="J418184" s="7">
        <v>3.36</v>
      </c>
      <c r="K418184" s="11">
        <f t="shared" si="29"/>
        <v>2026</v>
      </c>
      <c r="L418184" s="11" t="s">
        <v>16</v>
      </c>
      <c r="M418184" s="11" t="s">
        <v>17</v>
      </c>
    </row>
    <row r="418185" spans="1:13" x14ac:dyDescent="0.25">
      <c r="A418185" s="6">
        <v>46128.166666666664</v>
      </c>
      <c r="B418185" s="11">
        <f t="shared" si="27"/>
        <v>4</v>
      </c>
      <c r="C418185" s="11">
        <f t="shared" si="28"/>
        <v>16</v>
      </c>
      <c r="D418185" s="5" t="s">
        <v>18</v>
      </c>
      <c r="E418185" s="11" t="s">
        <v>14</v>
      </c>
      <c r="F418185" s="9" t="s">
        <v>22</v>
      </c>
      <c r="G418185" s="11">
        <v>1</v>
      </c>
      <c r="J418185" s="7">
        <v>9.1389999999999993</v>
      </c>
      <c r="K418185" s="11">
        <f t="shared" si="29"/>
        <v>2026</v>
      </c>
      <c r="L418185" s="11" t="s">
        <v>16</v>
      </c>
      <c r="M418185" s="11" t="s">
        <v>17</v>
      </c>
    </row>
    <row r="418186" spans="1:13" x14ac:dyDescent="0.25">
      <c r="A418186" s="6">
        <v>46129.166666666664</v>
      </c>
      <c r="B418186" s="11">
        <f t="shared" si="27"/>
        <v>4</v>
      </c>
      <c r="C418186" s="11">
        <f t="shared" si="28"/>
        <v>16</v>
      </c>
      <c r="D418186" s="5" t="s">
        <v>18</v>
      </c>
      <c r="E418186" s="11" t="s">
        <v>14</v>
      </c>
      <c r="F418186" s="9" t="s">
        <v>22</v>
      </c>
      <c r="G418186" s="11">
        <v>1</v>
      </c>
      <c r="J418186" s="7">
        <v>0.78</v>
      </c>
      <c r="K418186" s="11">
        <f t="shared" si="29"/>
        <v>2026</v>
      </c>
      <c r="L418186" s="11" t="s">
        <v>16</v>
      </c>
      <c r="M418186" s="11" t="s">
        <v>17</v>
      </c>
    </row>
    <row r="418187" spans="1:13" x14ac:dyDescent="0.25">
      <c r="A418187" s="6">
        <v>46126.541666666664</v>
      </c>
      <c r="B418187" s="11">
        <f t="shared" si="27"/>
        <v>4</v>
      </c>
      <c r="C418187" s="11">
        <f t="shared" si="28"/>
        <v>16</v>
      </c>
      <c r="D418187" s="5" t="s">
        <v>18</v>
      </c>
      <c r="E418187" s="11" t="s">
        <v>14</v>
      </c>
      <c r="F418187" s="9" t="s">
        <v>15</v>
      </c>
      <c r="G418187" s="11">
        <v>1</v>
      </c>
      <c r="J418187" s="7">
        <v>1.536</v>
      </c>
      <c r="K418187" s="11">
        <f t="shared" si="29"/>
        <v>2026</v>
      </c>
      <c r="L418187" s="11" t="s">
        <v>16</v>
      </c>
      <c r="M418187" s="11" t="s">
        <v>17</v>
      </c>
    </row>
    <row r="418188" spans="1:13" x14ac:dyDescent="0.25">
      <c r="A418188" s="6">
        <v>46126.291666666664</v>
      </c>
      <c r="B418188" s="11">
        <f t="shared" si="27"/>
        <v>4</v>
      </c>
      <c r="C418188" s="11">
        <f t="shared" si="28"/>
        <v>16</v>
      </c>
      <c r="D418188" s="5" t="s">
        <v>18</v>
      </c>
      <c r="E418188" s="11" t="s">
        <v>14</v>
      </c>
      <c r="F418188" s="9" t="s">
        <v>22</v>
      </c>
      <c r="G418188" s="11">
        <v>1</v>
      </c>
      <c r="J418188" s="7">
        <v>2.2549999999999999</v>
      </c>
      <c r="K418188" s="11">
        <f t="shared" si="29"/>
        <v>2026</v>
      </c>
      <c r="L418188" s="11" t="s">
        <v>16</v>
      </c>
      <c r="M418188" s="11" t="s">
        <v>17</v>
      </c>
    </row>
    <row r="418189" spans="1:13" x14ac:dyDescent="0.25">
      <c r="A418189" s="6">
        <v>46129.166666666664</v>
      </c>
      <c r="B418189" s="11">
        <f t="shared" si="27"/>
        <v>4</v>
      </c>
      <c r="C418189" s="11">
        <f t="shared" si="28"/>
        <v>16</v>
      </c>
      <c r="D418189" s="5" t="s">
        <v>18</v>
      </c>
      <c r="E418189" s="11" t="s">
        <v>14</v>
      </c>
      <c r="F418189" s="9" t="s">
        <v>22</v>
      </c>
      <c r="G418189" s="11">
        <v>1</v>
      </c>
      <c r="J418189" s="7">
        <v>1.6990000000000001</v>
      </c>
      <c r="K418189" s="11">
        <f t="shared" si="29"/>
        <v>2026</v>
      </c>
      <c r="L418189" s="11" t="s">
        <v>16</v>
      </c>
      <c r="M418189" s="11" t="s">
        <v>17</v>
      </c>
    </row>
    <row r="418190" spans="1:13" x14ac:dyDescent="0.25">
      <c r="A418190" s="6">
        <v>46129.916666666664</v>
      </c>
      <c r="B418190" s="11">
        <f t="shared" si="27"/>
        <v>4</v>
      </c>
      <c r="C418190" s="11">
        <f t="shared" si="28"/>
        <v>16</v>
      </c>
      <c r="D418190" s="5" t="s">
        <v>18</v>
      </c>
      <c r="E418190" s="11" t="s">
        <v>14</v>
      </c>
      <c r="F418190" s="9" t="s">
        <v>22</v>
      </c>
      <c r="G418190" s="11">
        <v>1</v>
      </c>
      <c r="J418190" s="7">
        <v>0.498</v>
      </c>
      <c r="K418190" s="11">
        <f t="shared" si="29"/>
        <v>2026</v>
      </c>
      <c r="L418190" s="11" t="s">
        <v>16</v>
      </c>
      <c r="M418190" s="11" t="s">
        <v>17</v>
      </c>
    </row>
    <row r="418191" spans="1:13" x14ac:dyDescent="0.25">
      <c r="A418191" s="6">
        <v>46128.166666666664</v>
      </c>
      <c r="B418191" s="11">
        <f t="shared" si="27"/>
        <v>4</v>
      </c>
      <c r="C418191" s="11">
        <f t="shared" si="28"/>
        <v>16</v>
      </c>
      <c r="D418191" s="5" t="s">
        <v>18</v>
      </c>
      <c r="E418191" s="11" t="s">
        <v>14</v>
      </c>
      <c r="F418191" s="9" t="s">
        <v>22</v>
      </c>
      <c r="G418191" s="11">
        <v>1</v>
      </c>
      <c r="J418191" s="7">
        <v>8.2989999999999995</v>
      </c>
      <c r="K418191" s="11">
        <f t="shared" si="29"/>
        <v>2026</v>
      </c>
      <c r="L418191" s="11" t="s">
        <v>16</v>
      </c>
      <c r="M418191" s="11" t="s">
        <v>17</v>
      </c>
    </row>
    <row r="418192" spans="1:13" x14ac:dyDescent="0.25">
      <c r="A418192" s="6">
        <v>46128.166666666664</v>
      </c>
      <c r="B418192" s="11">
        <f t="shared" si="27"/>
        <v>4</v>
      </c>
      <c r="C418192" s="11">
        <f t="shared" si="28"/>
        <v>16</v>
      </c>
      <c r="D418192" s="5" t="s">
        <v>18</v>
      </c>
      <c r="E418192" s="11" t="s">
        <v>14</v>
      </c>
      <c r="F418192" s="9" t="s">
        <v>22</v>
      </c>
      <c r="G418192" s="11">
        <v>1</v>
      </c>
      <c r="J418192" s="7">
        <v>1.2</v>
      </c>
      <c r="K418192" s="11">
        <f t="shared" si="29"/>
        <v>2026</v>
      </c>
      <c r="L418192" s="11" t="s">
        <v>16</v>
      </c>
      <c r="M418192" s="11" t="s">
        <v>17</v>
      </c>
    </row>
    <row r="418193" spans="1:13" x14ac:dyDescent="0.25">
      <c r="A418193" s="6">
        <v>46128</v>
      </c>
      <c r="B418193" s="11">
        <f t="shared" si="27"/>
        <v>4</v>
      </c>
      <c r="C418193" s="11">
        <f t="shared" si="28"/>
        <v>16</v>
      </c>
      <c r="D418193" s="5" t="s">
        <v>18</v>
      </c>
      <c r="E418193" s="11" t="s">
        <v>14</v>
      </c>
      <c r="F418193" s="9" t="s">
        <v>22</v>
      </c>
      <c r="G418193" s="11">
        <v>1</v>
      </c>
      <c r="J418193" s="7">
        <v>3.36</v>
      </c>
      <c r="K418193" s="11">
        <f t="shared" si="29"/>
        <v>2026</v>
      </c>
      <c r="L418193" s="11" t="s">
        <v>16</v>
      </c>
      <c r="M418193" s="11" t="s">
        <v>17</v>
      </c>
    </row>
    <row r="418194" spans="1:13" x14ac:dyDescent="0.25">
      <c r="A418194" s="6">
        <v>46128</v>
      </c>
      <c r="B418194" s="11">
        <f t="shared" si="27"/>
        <v>4</v>
      </c>
      <c r="C418194" s="11">
        <f t="shared" si="28"/>
        <v>16</v>
      </c>
      <c r="D418194" s="5" t="s">
        <v>18</v>
      </c>
      <c r="E418194" s="11" t="s">
        <v>14</v>
      </c>
      <c r="F418194" s="9" t="s">
        <v>22</v>
      </c>
      <c r="G418194" s="11">
        <v>1</v>
      </c>
      <c r="J418194" s="7">
        <v>2.6880000000000002</v>
      </c>
      <c r="K418194" s="11">
        <f t="shared" si="29"/>
        <v>2026</v>
      </c>
      <c r="L418194" s="11" t="s">
        <v>16</v>
      </c>
      <c r="M418194" s="11" t="s">
        <v>17</v>
      </c>
    </row>
    <row r="418195" spans="1:13" x14ac:dyDescent="0.25">
      <c r="A418195" s="6">
        <v>46128</v>
      </c>
      <c r="B418195" s="11">
        <f t="shared" si="27"/>
        <v>4</v>
      </c>
      <c r="C418195" s="11">
        <f t="shared" si="28"/>
        <v>16</v>
      </c>
      <c r="D418195" s="5" t="s">
        <v>18</v>
      </c>
      <c r="E418195" s="11" t="s">
        <v>14</v>
      </c>
      <c r="F418195" s="9" t="s">
        <v>22</v>
      </c>
      <c r="G418195" s="11">
        <v>1</v>
      </c>
      <c r="J418195" s="7">
        <v>0.68700000000000006</v>
      </c>
      <c r="K418195" s="11">
        <f t="shared" si="29"/>
        <v>2026</v>
      </c>
      <c r="L418195" s="11" t="s">
        <v>16</v>
      </c>
      <c r="M418195" s="11" t="s">
        <v>17</v>
      </c>
    </row>
    <row r="418196" spans="1:13" x14ac:dyDescent="0.25">
      <c r="A418196" s="6">
        <v>46129</v>
      </c>
      <c r="B418196" s="11">
        <f t="shared" si="27"/>
        <v>4</v>
      </c>
      <c r="C418196" s="11">
        <f t="shared" si="28"/>
        <v>16</v>
      </c>
      <c r="D418196" s="5" t="s">
        <v>18</v>
      </c>
      <c r="E418196" s="11" t="s">
        <v>14</v>
      </c>
      <c r="F418196" s="9" t="s">
        <v>22</v>
      </c>
      <c r="G418196" s="11">
        <v>1</v>
      </c>
      <c r="J418196" s="7">
        <v>1.17</v>
      </c>
      <c r="K418196" s="11">
        <f t="shared" si="29"/>
        <v>2026</v>
      </c>
      <c r="L418196" s="11" t="s">
        <v>16</v>
      </c>
      <c r="M418196" s="11" t="s">
        <v>17</v>
      </c>
    </row>
    <row r="418197" spans="1:13" x14ac:dyDescent="0.25">
      <c r="A418197" s="6">
        <v>46129.458333333336</v>
      </c>
      <c r="B418197" s="11">
        <f t="shared" si="27"/>
        <v>4</v>
      </c>
      <c r="C418197" s="11">
        <f t="shared" si="28"/>
        <v>16</v>
      </c>
      <c r="D418197" s="5" t="s">
        <v>18</v>
      </c>
      <c r="E418197" s="11" t="s">
        <v>14</v>
      </c>
      <c r="F418197" s="9" t="s">
        <v>22</v>
      </c>
      <c r="G418197" s="11">
        <v>1</v>
      </c>
      <c r="J418197" s="7">
        <v>0.13600000000000001</v>
      </c>
      <c r="K418197" s="11">
        <f t="shared" si="29"/>
        <v>2026</v>
      </c>
      <c r="L418197" s="11" t="s">
        <v>16</v>
      </c>
      <c r="M418197" s="11" t="s">
        <v>17</v>
      </c>
    </row>
    <row r="418198" spans="1:13" x14ac:dyDescent="0.25">
      <c r="A418198" s="6">
        <v>46128</v>
      </c>
      <c r="B418198" s="11">
        <f t="shared" si="27"/>
        <v>4</v>
      </c>
      <c r="C418198" s="11">
        <f t="shared" si="28"/>
        <v>16</v>
      </c>
      <c r="D418198" s="5" t="s">
        <v>18</v>
      </c>
      <c r="E418198" s="11" t="s">
        <v>14</v>
      </c>
      <c r="F418198" s="9" t="s">
        <v>22</v>
      </c>
      <c r="G418198" s="11">
        <v>1</v>
      </c>
      <c r="J418198" s="7">
        <v>2.016</v>
      </c>
      <c r="K418198" s="11">
        <f t="shared" si="29"/>
        <v>2026</v>
      </c>
      <c r="L418198" s="11" t="s">
        <v>16</v>
      </c>
      <c r="M418198" s="11" t="s">
        <v>17</v>
      </c>
    </row>
    <row r="418199" spans="1:13" x14ac:dyDescent="0.25">
      <c r="A418199" s="6">
        <v>46126.541666666664</v>
      </c>
      <c r="B418199" s="11">
        <f t="shared" si="27"/>
        <v>4</v>
      </c>
      <c r="C418199" s="11">
        <f t="shared" si="28"/>
        <v>16</v>
      </c>
      <c r="D418199" s="5" t="s">
        <v>18</v>
      </c>
      <c r="E418199" s="11" t="s">
        <v>14</v>
      </c>
      <c r="F418199" s="9" t="s">
        <v>15</v>
      </c>
      <c r="G418199" s="11">
        <v>1</v>
      </c>
      <c r="J418199" s="7">
        <v>1.8560000000000001</v>
      </c>
      <c r="K418199" s="11">
        <f t="shared" si="29"/>
        <v>2026</v>
      </c>
      <c r="L418199" s="11" t="s">
        <v>16</v>
      </c>
      <c r="M418199" s="11" t="s">
        <v>17</v>
      </c>
    </row>
    <row r="418200" spans="1:13" x14ac:dyDescent="0.25">
      <c r="A418200" s="6">
        <v>46128</v>
      </c>
      <c r="B418200" s="11">
        <f t="shared" si="27"/>
        <v>4</v>
      </c>
      <c r="C418200" s="11">
        <f t="shared" si="28"/>
        <v>16</v>
      </c>
      <c r="D418200" s="5" t="s">
        <v>18</v>
      </c>
      <c r="E418200" s="11" t="s">
        <v>14</v>
      </c>
      <c r="F418200" s="9" t="s">
        <v>22</v>
      </c>
      <c r="G418200" s="11">
        <v>1</v>
      </c>
      <c r="J418200" s="7">
        <v>2.246</v>
      </c>
      <c r="K418200" s="11">
        <f t="shared" si="29"/>
        <v>2026</v>
      </c>
      <c r="L418200" s="11" t="s">
        <v>16</v>
      </c>
      <c r="M418200" s="11" t="s">
        <v>17</v>
      </c>
    </row>
    <row r="418201" spans="1:13" x14ac:dyDescent="0.25">
      <c r="A418201" s="6">
        <v>46126.088194444441</v>
      </c>
      <c r="B418201" s="11">
        <f t="shared" si="27"/>
        <v>4</v>
      </c>
      <c r="C418201" s="11">
        <f t="shared" si="28"/>
        <v>16</v>
      </c>
      <c r="D418201" s="5" t="s">
        <v>18</v>
      </c>
      <c r="E418201" s="11" t="s">
        <v>14</v>
      </c>
      <c r="F418201" s="9" t="s">
        <v>15</v>
      </c>
      <c r="G418201" s="11">
        <v>1</v>
      </c>
      <c r="J418201" s="7">
        <v>2.88</v>
      </c>
      <c r="K418201" s="11">
        <f t="shared" si="29"/>
        <v>2026</v>
      </c>
      <c r="L418201" s="11" t="s">
        <v>16</v>
      </c>
      <c r="M418201" s="11" t="s">
        <v>17</v>
      </c>
    </row>
    <row r="418202" spans="1:13" x14ac:dyDescent="0.25">
      <c r="A418202" s="6">
        <v>46126.088194444441</v>
      </c>
      <c r="B418202" s="11">
        <f t="shared" si="27"/>
        <v>4</v>
      </c>
      <c r="C418202" s="11">
        <f t="shared" si="28"/>
        <v>16</v>
      </c>
      <c r="D418202" s="5" t="s">
        <v>18</v>
      </c>
      <c r="E418202" s="11" t="s">
        <v>14</v>
      </c>
      <c r="F418202" s="9" t="s">
        <v>15</v>
      </c>
      <c r="G418202" s="11">
        <v>1</v>
      </c>
      <c r="J418202" s="7">
        <v>0.34</v>
      </c>
      <c r="K418202" s="11">
        <f t="shared" si="29"/>
        <v>2026</v>
      </c>
      <c r="L418202" s="11" t="s">
        <v>16</v>
      </c>
      <c r="M418202" s="11" t="s">
        <v>17</v>
      </c>
    </row>
    <row r="418203" spans="1:13" x14ac:dyDescent="0.25">
      <c r="A418203" s="6">
        <v>46125.583333333336</v>
      </c>
      <c r="B418203" s="11">
        <f t="shared" si="27"/>
        <v>4</v>
      </c>
      <c r="C418203" s="11">
        <f t="shared" si="28"/>
        <v>16</v>
      </c>
      <c r="D418203" s="5" t="s">
        <v>19</v>
      </c>
      <c r="E418203" s="11" t="s">
        <v>14</v>
      </c>
      <c r="F418203" s="9" t="s">
        <v>15</v>
      </c>
      <c r="G418203" s="11">
        <v>1</v>
      </c>
      <c r="J418203" s="7">
        <v>0.49</v>
      </c>
      <c r="K418203" s="11">
        <f t="shared" si="29"/>
        <v>2026</v>
      </c>
      <c r="L418203" s="11" t="s">
        <v>16</v>
      </c>
      <c r="M418203" s="11" t="s">
        <v>17</v>
      </c>
    </row>
    <row r="418204" spans="1:13" x14ac:dyDescent="0.25">
      <c r="A418204" s="6">
        <v>46127.027777777781</v>
      </c>
      <c r="B418204" s="11">
        <f t="shared" si="27"/>
        <v>4</v>
      </c>
      <c r="C418204" s="11">
        <f t="shared" si="28"/>
        <v>16</v>
      </c>
      <c r="D418204" s="5" t="s">
        <v>19</v>
      </c>
      <c r="E418204" s="11" t="s">
        <v>14</v>
      </c>
      <c r="F418204" s="9" t="s">
        <v>22</v>
      </c>
      <c r="G418204" s="11">
        <v>1</v>
      </c>
      <c r="J418204" s="7">
        <v>1.32</v>
      </c>
      <c r="K418204" s="11">
        <f t="shared" si="29"/>
        <v>2026</v>
      </c>
      <c r="L418204" s="11" t="s">
        <v>16</v>
      </c>
      <c r="M418204" s="11" t="s">
        <v>17</v>
      </c>
    </row>
    <row r="418205" spans="1:13" x14ac:dyDescent="0.25">
      <c r="A418205" s="6">
        <v>46127.027777777781</v>
      </c>
      <c r="B418205" s="11">
        <f t="shared" si="27"/>
        <v>4</v>
      </c>
      <c r="C418205" s="11">
        <f t="shared" si="28"/>
        <v>16</v>
      </c>
      <c r="D418205" s="5" t="s">
        <v>19</v>
      </c>
      <c r="E418205" s="11" t="s">
        <v>14</v>
      </c>
      <c r="F418205" s="9" t="s">
        <v>22</v>
      </c>
      <c r="G418205" s="11">
        <v>1</v>
      </c>
      <c r="J418205" s="7">
        <v>3.96</v>
      </c>
      <c r="K418205" s="11">
        <f t="shared" si="29"/>
        <v>2026</v>
      </c>
      <c r="L418205" s="11" t="s">
        <v>16</v>
      </c>
      <c r="M418205" s="11" t="s">
        <v>17</v>
      </c>
    </row>
    <row r="418206" spans="1:13" x14ac:dyDescent="0.25">
      <c r="A418206" s="6">
        <v>46125.583333333336</v>
      </c>
      <c r="B418206" s="11">
        <f t="shared" si="27"/>
        <v>4</v>
      </c>
      <c r="C418206" s="11">
        <f t="shared" si="28"/>
        <v>16</v>
      </c>
      <c r="D418206" s="5" t="s">
        <v>19</v>
      </c>
      <c r="E418206" s="11" t="s">
        <v>14</v>
      </c>
      <c r="F418206" s="9" t="s">
        <v>15</v>
      </c>
      <c r="G418206" s="11">
        <v>1</v>
      </c>
      <c r="J418206" s="7">
        <v>1.6879999999999999</v>
      </c>
      <c r="K418206" s="11">
        <f t="shared" si="29"/>
        <v>2026</v>
      </c>
      <c r="L418206" s="11" t="s">
        <v>16</v>
      </c>
      <c r="M418206" s="11" t="s">
        <v>17</v>
      </c>
    </row>
    <row r="418207" spans="1:13" x14ac:dyDescent="0.25">
      <c r="A418207" s="6">
        <v>46130.916666666664</v>
      </c>
      <c r="B418207" s="11">
        <f t="shared" si="27"/>
        <v>4</v>
      </c>
      <c r="C418207" s="11">
        <f t="shared" si="28"/>
        <v>16</v>
      </c>
      <c r="D418207" s="5" t="s">
        <v>19</v>
      </c>
      <c r="E418207" s="11" t="s">
        <v>14</v>
      </c>
      <c r="F418207" s="9" t="s">
        <v>22</v>
      </c>
      <c r="G418207" s="11">
        <v>1</v>
      </c>
      <c r="J418207" s="7">
        <v>0.33</v>
      </c>
      <c r="K418207" s="11">
        <f t="shared" si="29"/>
        <v>2026</v>
      </c>
      <c r="L418207" s="11" t="s">
        <v>16</v>
      </c>
      <c r="M418207" s="11" t="s">
        <v>17</v>
      </c>
    </row>
    <row r="418208" spans="1:13" x14ac:dyDescent="0.25">
      <c r="A418208" s="6">
        <v>46126.541666666664</v>
      </c>
      <c r="B418208" s="11">
        <f t="shared" si="27"/>
        <v>4</v>
      </c>
      <c r="C418208" s="11">
        <f t="shared" si="28"/>
        <v>16</v>
      </c>
      <c r="D418208" s="5" t="s">
        <v>19</v>
      </c>
      <c r="E418208" s="11" t="s">
        <v>14</v>
      </c>
      <c r="F418208" s="9" t="s">
        <v>15</v>
      </c>
      <c r="G418208" s="11">
        <v>1</v>
      </c>
      <c r="J418208" s="7">
        <v>2.5499999999999998</v>
      </c>
      <c r="K418208" s="11">
        <f t="shared" si="29"/>
        <v>2026</v>
      </c>
      <c r="L418208" s="11" t="s">
        <v>16</v>
      </c>
      <c r="M418208" s="11" t="s">
        <v>17</v>
      </c>
    </row>
    <row r="418209" spans="1:13" x14ac:dyDescent="0.25">
      <c r="A418209" s="6">
        <v>46126</v>
      </c>
      <c r="B418209" s="11">
        <f t="shared" si="27"/>
        <v>4</v>
      </c>
      <c r="C418209" s="11">
        <f t="shared" si="28"/>
        <v>16</v>
      </c>
      <c r="D418209" s="5" t="s">
        <v>20</v>
      </c>
      <c r="E418209" s="11" t="s">
        <v>14</v>
      </c>
      <c r="F418209" s="9" t="s">
        <v>22</v>
      </c>
      <c r="G418209" s="11">
        <v>1</v>
      </c>
      <c r="J418209" s="7">
        <v>2.0099999999999998</v>
      </c>
      <c r="K418209" s="11">
        <f t="shared" si="29"/>
        <v>2026</v>
      </c>
      <c r="L418209" s="11" t="s">
        <v>16</v>
      </c>
      <c r="M418209" s="11" t="s">
        <v>17</v>
      </c>
    </row>
    <row r="418210" spans="1:13" x14ac:dyDescent="0.25">
      <c r="A418210" s="6">
        <v>46126.375</v>
      </c>
      <c r="B418210" s="11">
        <f t="shared" si="27"/>
        <v>4</v>
      </c>
      <c r="C418210" s="11">
        <f t="shared" si="28"/>
        <v>16</v>
      </c>
      <c r="D418210" s="5" t="s">
        <v>13</v>
      </c>
      <c r="E418210" s="11" t="s">
        <v>14</v>
      </c>
      <c r="F418210" s="9" t="s">
        <v>15</v>
      </c>
      <c r="G418210" s="11">
        <v>1</v>
      </c>
      <c r="J418210" s="7">
        <v>3.556</v>
      </c>
      <c r="K418210" s="11">
        <f t="shared" si="29"/>
        <v>2026</v>
      </c>
      <c r="L418210" s="11" t="s">
        <v>16</v>
      </c>
      <c r="M418210" s="11" t="s">
        <v>17</v>
      </c>
    </row>
    <row r="418211" spans="1:13" x14ac:dyDescent="0.25">
      <c r="A418211" s="6">
        <v>46126.541666666664</v>
      </c>
      <c r="B418211" s="11">
        <f t="shared" si="27"/>
        <v>4</v>
      </c>
      <c r="C418211" s="11">
        <f t="shared" si="28"/>
        <v>16</v>
      </c>
      <c r="D418211" s="5" t="s">
        <v>13</v>
      </c>
      <c r="E418211" s="11" t="s">
        <v>14</v>
      </c>
      <c r="F418211" s="9" t="s">
        <v>15</v>
      </c>
      <c r="G418211" s="11">
        <v>1</v>
      </c>
      <c r="J418211" s="7">
        <v>1.694</v>
      </c>
      <c r="K418211" s="11">
        <f t="shared" si="29"/>
        <v>2026</v>
      </c>
      <c r="L418211" s="11" t="s">
        <v>16</v>
      </c>
      <c r="M418211" s="11" t="s">
        <v>17</v>
      </c>
    </row>
    <row r="418212" spans="1:13" x14ac:dyDescent="0.25">
      <c r="A418212" s="6">
        <v>46126.541666666664</v>
      </c>
      <c r="B418212" s="11">
        <f t="shared" si="27"/>
        <v>4</v>
      </c>
      <c r="C418212" s="11">
        <f t="shared" si="28"/>
        <v>16</v>
      </c>
      <c r="D418212" s="5" t="s">
        <v>13</v>
      </c>
      <c r="E418212" s="11" t="s">
        <v>14</v>
      </c>
      <c r="F418212" s="9" t="s">
        <v>15</v>
      </c>
      <c r="G418212" s="11">
        <v>1</v>
      </c>
      <c r="J418212" s="7">
        <v>6.7759999999999998</v>
      </c>
      <c r="K418212" s="11">
        <f t="shared" si="29"/>
        <v>2026</v>
      </c>
      <c r="L418212" s="11" t="s">
        <v>16</v>
      </c>
      <c r="M418212" s="11" t="s">
        <v>17</v>
      </c>
    </row>
    <row r="418213" spans="1:13" x14ac:dyDescent="0.25">
      <c r="A418213" s="6">
        <v>46126.541666666664</v>
      </c>
      <c r="B418213" s="11">
        <f t="shared" si="27"/>
        <v>4</v>
      </c>
      <c r="C418213" s="11">
        <f t="shared" si="28"/>
        <v>16</v>
      </c>
      <c r="D418213" s="5" t="s">
        <v>13</v>
      </c>
      <c r="E418213" s="11" t="s">
        <v>14</v>
      </c>
      <c r="F418213" s="9" t="s">
        <v>15</v>
      </c>
      <c r="G418213" s="11">
        <v>1</v>
      </c>
      <c r="J418213" s="7">
        <v>0.315</v>
      </c>
      <c r="K418213" s="11">
        <f t="shared" si="29"/>
        <v>2026</v>
      </c>
      <c r="L418213" s="11" t="s">
        <v>16</v>
      </c>
      <c r="M418213" s="11" t="s">
        <v>17</v>
      </c>
    </row>
    <row r="418214" spans="1:13" x14ac:dyDescent="0.25">
      <c r="A418214" s="6">
        <v>46126.541666666664</v>
      </c>
      <c r="B418214" s="11">
        <f t="shared" ref="B418214:B418267" si="30">MONTH(A418214)</f>
        <v>4</v>
      </c>
      <c r="C418214" s="11">
        <f t="shared" ref="C418214:C418267" si="31">WEEKNUM(A418214)</f>
        <v>16</v>
      </c>
      <c r="D418214" s="5" t="s">
        <v>13</v>
      </c>
      <c r="E418214" s="11" t="s">
        <v>14</v>
      </c>
      <c r="F418214" s="9" t="s">
        <v>15</v>
      </c>
      <c r="G418214" s="11">
        <v>1</v>
      </c>
      <c r="J418214" s="7">
        <v>0.315</v>
      </c>
      <c r="K418214" s="11">
        <f t="shared" ref="K418214:K418267" si="32">YEAR(A418214)</f>
        <v>2026</v>
      </c>
      <c r="L418214" s="11" t="s">
        <v>16</v>
      </c>
      <c r="M418214" s="11" t="s">
        <v>17</v>
      </c>
    </row>
    <row r="418215" spans="1:13" x14ac:dyDescent="0.25">
      <c r="A418215" s="6">
        <v>46126.541666666664</v>
      </c>
      <c r="B418215" s="11">
        <f t="shared" si="30"/>
        <v>4</v>
      </c>
      <c r="C418215" s="11">
        <f t="shared" si="31"/>
        <v>16</v>
      </c>
      <c r="D418215" s="5" t="s">
        <v>13</v>
      </c>
      <c r="E418215" s="11" t="s">
        <v>14</v>
      </c>
      <c r="F418215" s="9" t="s">
        <v>15</v>
      </c>
      <c r="G418215" s="11">
        <v>1</v>
      </c>
      <c r="J418215" s="7">
        <v>0.17299999999999999</v>
      </c>
      <c r="K418215" s="11">
        <f t="shared" si="32"/>
        <v>2026</v>
      </c>
      <c r="L418215" s="11" t="s">
        <v>16</v>
      </c>
      <c r="M418215" s="11" t="s">
        <v>17</v>
      </c>
    </row>
    <row r="418216" spans="1:13" x14ac:dyDescent="0.25">
      <c r="A418216" s="6">
        <v>46126.541666666664</v>
      </c>
      <c r="B418216" s="11">
        <f t="shared" si="30"/>
        <v>4</v>
      </c>
      <c r="C418216" s="11">
        <f t="shared" si="31"/>
        <v>16</v>
      </c>
      <c r="D418216" s="5" t="s">
        <v>13</v>
      </c>
      <c r="E418216" s="11" t="s">
        <v>14</v>
      </c>
      <c r="F418216" s="9" t="s">
        <v>15</v>
      </c>
      <c r="G418216" s="11">
        <v>1</v>
      </c>
      <c r="J418216" s="7">
        <v>9.6000000000000002E-2</v>
      </c>
      <c r="K418216" s="11">
        <f t="shared" si="32"/>
        <v>2026</v>
      </c>
      <c r="L418216" s="11" t="s">
        <v>16</v>
      </c>
      <c r="M418216" s="11" t="s">
        <v>17</v>
      </c>
    </row>
    <row r="418217" spans="1:13" x14ac:dyDescent="0.25">
      <c r="A418217" s="6">
        <v>46125</v>
      </c>
      <c r="B418217" s="11">
        <f t="shared" si="30"/>
        <v>4</v>
      </c>
      <c r="C418217" s="11">
        <f t="shared" si="31"/>
        <v>16</v>
      </c>
      <c r="D418217" s="5" t="s">
        <v>20</v>
      </c>
      <c r="E418217" s="11" t="s">
        <v>14</v>
      </c>
      <c r="F418217" s="9" t="s">
        <v>22</v>
      </c>
      <c r="G418217" s="11">
        <v>1</v>
      </c>
      <c r="J418217" s="7">
        <v>0.995</v>
      </c>
      <c r="K418217" s="11">
        <f t="shared" si="32"/>
        <v>2026</v>
      </c>
      <c r="L418217" s="11" t="s">
        <v>16</v>
      </c>
      <c r="M418217" s="11" t="s">
        <v>17</v>
      </c>
    </row>
    <row r="418218" spans="1:13" x14ac:dyDescent="0.25">
      <c r="A418218" s="6">
        <v>46125.583333333336</v>
      </c>
      <c r="B418218" s="11">
        <f t="shared" si="30"/>
        <v>4</v>
      </c>
      <c r="C418218" s="11">
        <f t="shared" si="31"/>
        <v>16</v>
      </c>
      <c r="D418218" s="5" t="s">
        <v>13</v>
      </c>
      <c r="E418218" s="11" t="s">
        <v>14</v>
      </c>
      <c r="F418218" s="9" t="s">
        <v>15</v>
      </c>
      <c r="G418218" s="11">
        <v>1</v>
      </c>
      <c r="J418218" s="7">
        <v>1.32</v>
      </c>
      <c r="K418218" s="11">
        <f t="shared" si="32"/>
        <v>2026</v>
      </c>
      <c r="L418218" s="11" t="s">
        <v>16</v>
      </c>
      <c r="M418218" s="11" t="s">
        <v>17</v>
      </c>
    </row>
    <row r="418219" spans="1:13" x14ac:dyDescent="0.25">
      <c r="A418219" s="6">
        <v>46127.027777777781</v>
      </c>
      <c r="B418219" s="11">
        <f t="shared" si="30"/>
        <v>4</v>
      </c>
      <c r="C418219" s="11">
        <f t="shared" si="31"/>
        <v>16</v>
      </c>
      <c r="D418219" s="5" t="s">
        <v>13</v>
      </c>
      <c r="E418219" s="11" t="s">
        <v>14</v>
      </c>
      <c r="F418219" s="9" t="s">
        <v>22</v>
      </c>
      <c r="G418219" s="11">
        <v>1</v>
      </c>
      <c r="J418219" s="7">
        <v>1.32</v>
      </c>
      <c r="K418219" s="11">
        <f t="shared" si="32"/>
        <v>2026</v>
      </c>
      <c r="L418219" s="11" t="s">
        <v>16</v>
      </c>
      <c r="M418219" s="11" t="s">
        <v>17</v>
      </c>
    </row>
    <row r="418220" spans="1:13" x14ac:dyDescent="0.25">
      <c r="A418220" s="6">
        <v>46127.027777777781</v>
      </c>
      <c r="B418220" s="11">
        <f t="shared" si="30"/>
        <v>4</v>
      </c>
      <c r="C418220" s="11">
        <f t="shared" si="31"/>
        <v>16</v>
      </c>
      <c r="D418220" s="5" t="s">
        <v>13</v>
      </c>
      <c r="E418220" s="11" t="s">
        <v>14</v>
      </c>
      <c r="F418220" s="9" t="s">
        <v>22</v>
      </c>
      <c r="G418220" s="11">
        <v>1</v>
      </c>
      <c r="J418220" s="7">
        <v>5.742</v>
      </c>
      <c r="K418220" s="11">
        <f t="shared" si="32"/>
        <v>2026</v>
      </c>
      <c r="L418220" s="11" t="s">
        <v>16</v>
      </c>
      <c r="M418220" s="11" t="s">
        <v>17</v>
      </c>
    </row>
    <row r="418221" spans="1:13" x14ac:dyDescent="0.25">
      <c r="A418221" s="6">
        <v>46126.541666666664</v>
      </c>
      <c r="B418221" s="11">
        <f t="shared" si="30"/>
        <v>4</v>
      </c>
      <c r="C418221" s="11">
        <f t="shared" si="31"/>
        <v>16</v>
      </c>
      <c r="D418221" s="5" t="s">
        <v>13</v>
      </c>
      <c r="E418221" s="11" t="s">
        <v>14</v>
      </c>
      <c r="F418221" s="9" t="s">
        <v>15</v>
      </c>
      <c r="G418221" s="11">
        <v>1</v>
      </c>
      <c r="J418221" s="7">
        <v>0.36799999999999999</v>
      </c>
      <c r="K418221" s="11">
        <f t="shared" si="32"/>
        <v>2026</v>
      </c>
      <c r="L418221" s="11" t="s">
        <v>16</v>
      </c>
      <c r="M418221" s="11" t="s">
        <v>17</v>
      </c>
    </row>
    <row r="418222" spans="1:13" x14ac:dyDescent="0.25">
      <c r="A418222" s="6">
        <v>46126.541666666664</v>
      </c>
      <c r="B418222" s="11">
        <f t="shared" si="30"/>
        <v>4</v>
      </c>
      <c r="C418222" s="11">
        <f t="shared" si="31"/>
        <v>16</v>
      </c>
      <c r="D418222" s="5" t="s">
        <v>13</v>
      </c>
      <c r="E418222" s="11" t="s">
        <v>14</v>
      </c>
      <c r="F418222" s="9" t="s">
        <v>15</v>
      </c>
      <c r="G418222" s="11">
        <v>1</v>
      </c>
      <c r="J418222" s="7">
        <v>4.4429999999999996</v>
      </c>
      <c r="K418222" s="11">
        <f t="shared" si="32"/>
        <v>2026</v>
      </c>
      <c r="L418222" s="11" t="s">
        <v>16</v>
      </c>
      <c r="M418222" s="11" t="s">
        <v>17</v>
      </c>
    </row>
    <row r="418223" spans="1:13" x14ac:dyDescent="0.25">
      <c r="A418223" s="6">
        <v>46126.541666666664</v>
      </c>
      <c r="B418223" s="11">
        <f t="shared" si="30"/>
        <v>4</v>
      </c>
      <c r="C418223" s="11">
        <f t="shared" si="31"/>
        <v>16</v>
      </c>
      <c r="D418223" s="5" t="s">
        <v>13</v>
      </c>
      <c r="E418223" s="11" t="s">
        <v>14</v>
      </c>
      <c r="F418223" s="9" t="s">
        <v>15</v>
      </c>
      <c r="G418223" s="11">
        <v>1</v>
      </c>
      <c r="J418223" s="7">
        <v>4.4429999999999996</v>
      </c>
      <c r="K418223" s="11">
        <f t="shared" si="32"/>
        <v>2026</v>
      </c>
      <c r="L418223" s="11" t="s">
        <v>16</v>
      </c>
      <c r="M418223" s="11" t="s">
        <v>17</v>
      </c>
    </row>
    <row r="418224" spans="1:13" x14ac:dyDescent="0.25">
      <c r="A418224" s="6">
        <v>46126.541666666664</v>
      </c>
      <c r="B418224" s="11">
        <f t="shared" si="30"/>
        <v>4</v>
      </c>
      <c r="C418224" s="11">
        <f t="shared" si="31"/>
        <v>16</v>
      </c>
      <c r="D418224" s="5" t="s">
        <v>13</v>
      </c>
      <c r="E418224" s="11" t="s">
        <v>14</v>
      </c>
      <c r="F418224" s="9" t="s">
        <v>15</v>
      </c>
      <c r="G418224" s="11">
        <v>1</v>
      </c>
      <c r="J418224" s="7">
        <v>1.7769999999999999</v>
      </c>
      <c r="K418224" s="11">
        <f t="shared" si="32"/>
        <v>2026</v>
      </c>
      <c r="L418224" s="11" t="s">
        <v>16</v>
      </c>
      <c r="M418224" s="11" t="s">
        <v>17</v>
      </c>
    </row>
    <row r="418225" spans="1:13" x14ac:dyDescent="0.25">
      <c r="A418225" s="6">
        <v>46129.916666666664</v>
      </c>
      <c r="B418225" s="11">
        <f t="shared" si="30"/>
        <v>4</v>
      </c>
      <c r="C418225" s="11">
        <f t="shared" si="31"/>
        <v>16</v>
      </c>
      <c r="D418225" s="5" t="s">
        <v>13</v>
      </c>
      <c r="E418225" s="11" t="s">
        <v>14</v>
      </c>
      <c r="F418225" s="9" t="s">
        <v>22</v>
      </c>
      <c r="G418225" s="11">
        <v>1</v>
      </c>
      <c r="J418225" s="7">
        <v>3.5009999999999999</v>
      </c>
      <c r="K418225" s="11">
        <f t="shared" si="32"/>
        <v>2026</v>
      </c>
      <c r="L418225" s="11" t="s">
        <v>16</v>
      </c>
      <c r="M418225" s="11" t="s">
        <v>17</v>
      </c>
    </row>
    <row r="418226" spans="1:13" x14ac:dyDescent="0.25">
      <c r="A418226" s="6">
        <v>46126.541666666664</v>
      </c>
      <c r="B418226" s="11">
        <f t="shared" si="30"/>
        <v>4</v>
      </c>
      <c r="C418226" s="11">
        <f t="shared" si="31"/>
        <v>16</v>
      </c>
      <c r="D418226" s="5" t="s">
        <v>13</v>
      </c>
      <c r="E418226" s="11" t="s">
        <v>14</v>
      </c>
      <c r="F418226" s="9" t="s">
        <v>15</v>
      </c>
      <c r="G418226" s="11">
        <v>1</v>
      </c>
      <c r="J418226" s="7">
        <v>0.73799999999999999</v>
      </c>
      <c r="K418226" s="11">
        <f t="shared" si="32"/>
        <v>2026</v>
      </c>
      <c r="L418226" s="11" t="s">
        <v>16</v>
      </c>
      <c r="M418226" s="11" t="s">
        <v>17</v>
      </c>
    </row>
    <row r="418227" spans="1:13" x14ac:dyDescent="0.25">
      <c r="A418227" s="6">
        <v>46126.541666666664</v>
      </c>
      <c r="B418227" s="11">
        <f t="shared" si="30"/>
        <v>4</v>
      </c>
      <c r="C418227" s="11">
        <f t="shared" si="31"/>
        <v>16</v>
      </c>
      <c r="D418227" s="5" t="s">
        <v>23</v>
      </c>
      <c r="E418227" s="11" t="s">
        <v>14</v>
      </c>
      <c r="F418227" s="9" t="s">
        <v>15</v>
      </c>
      <c r="G418227" s="11">
        <v>1</v>
      </c>
      <c r="J418227" s="7">
        <v>1.0940000000000001</v>
      </c>
      <c r="K418227" s="11">
        <f t="shared" si="32"/>
        <v>2026</v>
      </c>
      <c r="L418227" s="11" t="s">
        <v>16</v>
      </c>
      <c r="M418227" s="11" t="s">
        <v>17</v>
      </c>
    </row>
    <row r="418228" spans="1:13" x14ac:dyDescent="0.25">
      <c r="A418228" s="6">
        <v>46126.088194444441</v>
      </c>
      <c r="B418228" s="11">
        <f t="shared" si="30"/>
        <v>4</v>
      </c>
      <c r="C418228" s="11">
        <f t="shared" si="31"/>
        <v>16</v>
      </c>
      <c r="D418228" s="5" t="s">
        <v>13</v>
      </c>
      <c r="E418228" s="11" t="s">
        <v>14</v>
      </c>
      <c r="F418228" s="9" t="s">
        <v>15</v>
      </c>
      <c r="G418228" s="11">
        <v>1</v>
      </c>
      <c r="J418228" s="7">
        <v>6.96</v>
      </c>
      <c r="K418228" s="11">
        <f t="shared" si="32"/>
        <v>2026</v>
      </c>
      <c r="L418228" s="11" t="s">
        <v>16</v>
      </c>
      <c r="M418228" s="11" t="s">
        <v>17</v>
      </c>
    </row>
    <row r="418229" spans="1:13" x14ac:dyDescent="0.25">
      <c r="A418229" s="6">
        <v>46126.088194444441</v>
      </c>
      <c r="B418229" s="11">
        <f t="shared" si="30"/>
        <v>4</v>
      </c>
      <c r="C418229" s="11">
        <f t="shared" si="31"/>
        <v>16</v>
      </c>
      <c r="D418229" s="5" t="s">
        <v>13</v>
      </c>
      <c r="E418229" s="11" t="s">
        <v>14</v>
      </c>
      <c r="F418229" s="9" t="s">
        <v>15</v>
      </c>
      <c r="G418229" s="11">
        <v>1</v>
      </c>
      <c r="J418229" s="7">
        <v>1.089</v>
      </c>
      <c r="K418229" s="11">
        <f t="shared" si="32"/>
        <v>2026</v>
      </c>
      <c r="L418229" s="11" t="s">
        <v>16</v>
      </c>
      <c r="M418229" s="11" t="s">
        <v>17</v>
      </c>
    </row>
    <row r="418230" spans="1:13" x14ac:dyDescent="0.25">
      <c r="A418230" s="6">
        <v>46126.088194444441</v>
      </c>
      <c r="B418230" s="11">
        <f t="shared" si="30"/>
        <v>4</v>
      </c>
      <c r="C418230" s="11">
        <f t="shared" si="31"/>
        <v>16</v>
      </c>
      <c r="D418230" s="5" t="s">
        <v>13</v>
      </c>
      <c r="E418230" s="11" t="s">
        <v>14</v>
      </c>
      <c r="F418230" s="9" t="s">
        <v>15</v>
      </c>
      <c r="G418230" s="11">
        <v>1</v>
      </c>
      <c r="J418230" s="7">
        <v>3.24</v>
      </c>
      <c r="K418230" s="11">
        <f t="shared" si="32"/>
        <v>2026</v>
      </c>
      <c r="L418230" s="11" t="s">
        <v>16</v>
      </c>
      <c r="M418230" s="11" t="s">
        <v>17</v>
      </c>
    </row>
    <row r="418231" spans="1:13" x14ac:dyDescent="0.25">
      <c r="A418231" s="6">
        <v>46126.375</v>
      </c>
      <c r="B418231" s="11">
        <f t="shared" si="30"/>
        <v>4</v>
      </c>
      <c r="C418231" s="11">
        <f t="shared" si="31"/>
        <v>16</v>
      </c>
      <c r="D418231" s="5" t="s">
        <v>21</v>
      </c>
      <c r="E418231" s="11" t="s">
        <v>14</v>
      </c>
      <c r="F418231" s="9" t="s">
        <v>15</v>
      </c>
      <c r="G418231" s="11">
        <v>1</v>
      </c>
      <c r="J418231" s="7">
        <v>2.9279999999999999</v>
      </c>
      <c r="K418231" s="11">
        <f t="shared" si="32"/>
        <v>2026</v>
      </c>
      <c r="L418231" s="11" t="s">
        <v>16</v>
      </c>
      <c r="M418231" s="11" t="s">
        <v>17</v>
      </c>
    </row>
    <row r="418232" spans="1:13" x14ac:dyDescent="0.25">
      <c r="A418232" s="6">
        <v>46126.541666666664</v>
      </c>
      <c r="B418232" s="11">
        <f t="shared" si="30"/>
        <v>4</v>
      </c>
      <c r="C418232" s="11">
        <f t="shared" si="31"/>
        <v>16</v>
      </c>
      <c r="D418232" s="5" t="s">
        <v>21</v>
      </c>
      <c r="E418232" s="11" t="s">
        <v>14</v>
      </c>
      <c r="F418232" s="9" t="s">
        <v>15</v>
      </c>
      <c r="G418232" s="11">
        <v>1</v>
      </c>
      <c r="J418232" s="7">
        <v>4.1909999999999998</v>
      </c>
      <c r="K418232" s="11">
        <f t="shared" si="32"/>
        <v>2026</v>
      </c>
      <c r="L418232" s="11" t="s">
        <v>16</v>
      </c>
      <c r="M418232" s="11" t="s">
        <v>17</v>
      </c>
    </row>
    <row r="418233" spans="1:13" x14ac:dyDescent="0.25">
      <c r="A418233" s="6">
        <v>46126.541666666664</v>
      </c>
      <c r="B418233" s="11">
        <f t="shared" si="30"/>
        <v>4</v>
      </c>
      <c r="C418233" s="11">
        <f t="shared" si="31"/>
        <v>16</v>
      </c>
      <c r="D418233" s="5" t="s">
        <v>21</v>
      </c>
      <c r="E418233" s="11" t="s">
        <v>14</v>
      </c>
      <c r="F418233" s="9" t="s">
        <v>15</v>
      </c>
      <c r="G418233" s="11">
        <v>1</v>
      </c>
      <c r="J418233" s="7">
        <v>1.4930000000000001</v>
      </c>
      <c r="K418233" s="11">
        <f t="shared" si="32"/>
        <v>2026</v>
      </c>
      <c r="L418233" s="11" t="s">
        <v>16</v>
      </c>
      <c r="M418233" s="11" t="s">
        <v>17</v>
      </c>
    </row>
    <row r="418234" spans="1:13" x14ac:dyDescent="0.25">
      <c r="A418234" s="6">
        <v>46126.541666666664</v>
      </c>
      <c r="B418234" s="11">
        <f t="shared" si="30"/>
        <v>4</v>
      </c>
      <c r="C418234" s="11">
        <f t="shared" si="31"/>
        <v>16</v>
      </c>
      <c r="D418234" s="5" t="s">
        <v>21</v>
      </c>
      <c r="E418234" s="11" t="s">
        <v>14</v>
      </c>
      <c r="F418234" s="9" t="s">
        <v>15</v>
      </c>
      <c r="G418234" s="11">
        <v>1</v>
      </c>
      <c r="J418234" s="7">
        <v>0.42</v>
      </c>
      <c r="K418234" s="11">
        <f t="shared" si="32"/>
        <v>2026</v>
      </c>
      <c r="L418234" s="11" t="s">
        <v>16</v>
      </c>
      <c r="M418234" s="11" t="s">
        <v>17</v>
      </c>
    </row>
    <row r="418235" spans="1:13" x14ac:dyDescent="0.25">
      <c r="A418235" s="6">
        <v>46126.084722222222</v>
      </c>
      <c r="B418235" s="11">
        <f t="shared" si="30"/>
        <v>4</v>
      </c>
      <c r="C418235" s="11">
        <f t="shared" si="31"/>
        <v>16</v>
      </c>
      <c r="D418235" s="5" t="s">
        <v>21</v>
      </c>
      <c r="E418235" s="11" t="s">
        <v>14</v>
      </c>
      <c r="F418235" s="9" t="s">
        <v>22</v>
      </c>
      <c r="G418235" s="11">
        <v>1</v>
      </c>
      <c r="J418235" s="7">
        <v>8.2000000000000003E-2</v>
      </c>
      <c r="K418235" s="11">
        <f t="shared" si="32"/>
        <v>2026</v>
      </c>
      <c r="L418235" s="11" t="s">
        <v>16</v>
      </c>
      <c r="M418235" s="11" t="s">
        <v>17</v>
      </c>
    </row>
    <row r="418236" spans="1:13" x14ac:dyDescent="0.25">
      <c r="A418236" s="6">
        <v>46126.088194444441</v>
      </c>
      <c r="B418236" s="11">
        <f t="shared" si="30"/>
        <v>4</v>
      </c>
      <c r="C418236" s="11">
        <f t="shared" si="31"/>
        <v>16</v>
      </c>
      <c r="D418236" s="5" t="s">
        <v>21</v>
      </c>
      <c r="E418236" s="11" t="s">
        <v>14</v>
      </c>
      <c r="F418236" s="9" t="s">
        <v>15</v>
      </c>
      <c r="G418236" s="11">
        <v>1</v>
      </c>
      <c r="J418236" s="7">
        <v>12.33</v>
      </c>
      <c r="K418236" s="11">
        <f t="shared" si="32"/>
        <v>2026</v>
      </c>
      <c r="L418236" s="11" t="s">
        <v>16</v>
      </c>
      <c r="M418236" s="11" t="s">
        <v>17</v>
      </c>
    </row>
    <row r="418237" spans="1:13" x14ac:dyDescent="0.25">
      <c r="A418237" s="6">
        <v>46125.583333333336</v>
      </c>
      <c r="B418237" s="11">
        <f t="shared" si="30"/>
        <v>4</v>
      </c>
      <c r="C418237" s="11">
        <f t="shared" si="31"/>
        <v>16</v>
      </c>
      <c r="D418237" s="5" t="s">
        <v>21</v>
      </c>
      <c r="E418237" s="11" t="s">
        <v>14</v>
      </c>
      <c r="F418237" s="9" t="s">
        <v>15</v>
      </c>
      <c r="G418237" s="11">
        <v>1</v>
      </c>
      <c r="J418237" s="7">
        <v>22.59</v>
      </c>
      <c r="K418237" s="11">
        <f t="shared" si="32"/>
        <v>2026</v>
      </c>
      <c r="L418237" s="11" t="s">
        <v>16</v>
      </c>
      <c r="M418237" s="11" t="s">
        <v>17</v>
      </c>
    </row>
    <row r="418238" spans="1:13" x14ac:dyDescent="0.25">
      <c r="A418238" s="6">
        <v>46125.583333333336</v>
      </c>
      <c r="B418238" s="11">
        <f t="shared" si="30"/>
        <v>4</v>
      </c>
      <c r="C418238" s="11">
        <f t="shared" si="31"/>
        <v>16</v>
      </c>
      <c r="D418238" s="5" t="s">
        <v>21</v>
      </c>
      <c r="E418238" s="11" t="s">
        <v>14</v>
      </c>
      <c r="F418238" s="9" t="s">
        <v>22</v>
      </c>
      <c r="G418238" s="11">
        <v>1</v>
      </c>
      <c r="J418238" s="7">
        <v>4.09</v>
      </c>
      <c r="K418238" s="11">
        <f t="shared" si="32"/>
        <v>2026</v>
      </c>
      <c r="L418238" s="11" t="s">
        <v>16</v>
      </c>
      <c r="M418238" s="11" t="s">
        <v>17</v>
      </c>
    </row>
    <row r="418239" spans="1:13" x14ac:dyDescent="0.25">
      <c r="A418239" s="6">
        <v>46129</v>
      </c>
      <c r="B418239" s="11">
        <f t="shared" si="30"/>
        <v>4</v>
      </c>
      <c r="C418239" s="11">
        <f t="shared" si="31"/>
        <v>16</v>
      </c>
      <c r="D418239" s="5" t="s">
        <v>21</v>
      </c>
      <c r="E418239" s="11" t="s">
        <v>14</v>
      </c>
      <c r="F418239" s="9" t="s">
        <v>22</v>
      </c>
      <c r="G418239" s="11">
        <v>1</v>
      </c>
      <c r="J418239" s="7">
        <v>0.98</v>
      </c>
      <c r="K418239" s="11">
        <f t="shared" si="32"/>
        <v>2026</v>
      </c>
      <c r="L418239" s="11" t="s">
        <v>16</v>
      </c>
      <c r="M418239" s="11" t="s">
        <v>17</v>
      </c>
    </row>
    <row r="418240" spans="1:13" x14ac:dyDescent="0.25">
      <c r="A418240" s="6">
        <v>46126.541666666664</v>
      </c>
      <c r="B418240" s="11">
        <f t="shared" si="30"/>
        <v>4</v>
      </c>
      <c r="C418240" s="11">
        <f t="shared" si="31"/>
        <v>16</v>
      </c>
      <c r="D418240" s="5" t="s">
        <v>21</v>
      </c>
      <c r="E418240" s="11" t="s">
        <v>14</v>
      </c>
      <c r="F418240" s="9" t="s">
        <v>15</v>
      </c>
      <c r="G418240" s="11">
        <v>1</v>
      </c>
      <c r="J418240" s="7">
        <v>4.2859999999999996</v>
      </c>
      <c r="K418240" s="11">
        <f t="shared" si="32"/>
        <v>2026</v>
      </c>
      <c r="L418240" s="11" t="s">
        <v>16</v>
      </c>
      <c r="M418240" s="11" t="s">
        <v>17</v>
      </c>
    </row>
    <row r="418241" spans="1:13" x14ac:dyDescent="0.25">
      <c r="A418241" s="6">
        <v>46126.541666666664</v>
      </c>
      <c r="B418241" s="11">
        <f t="shared" si="30"/>
        <v>4</v>
      </c>
      <c r="C418241" s="11">
        <f t="shared" si="31"/>
        <v>16</v>
      </c>
      <c r="D418241" s="5" t="s">
        <v>21</v>
      </c>
      <c r="E418241" s="11" t="s">
        <v>14</v>
      </c>
      <c r="F418241" s="9" t="s">
        <v>15</v>
      </c>
      <c r="G418241" s="11">
        <v>1</v>
      </c>
      <c r="J418241" s="7">
        <v>0.44600000000000001</v>
      </c>
      <c r="K418241" s="11">
        <f t="shared" si="32"/>
        <v>2026</v>
      </c>
      <c r="L418241" s="11" t="s">
        <v>16</v>
      </c>
      <c r="M418241" s="11" t="s">
        <v>17</v>
      </c>
    </row>
    <row r="418242" spans="1:13" x14ac:dyDescent="0.25">
      <c r="A418242" s="6">
        <v>46126.541666666664</v>
      </c>
      <c r="B418242" s="11">
        <f t="shared" si="30"/>
        <v>4</v>
      </c>
      <c r="C418242" s="11">
        <f t="shared" si="31"/>
        <v>16</v>
      </c>
      <c r="D418242" s="5" t="s">
        <v>21</v>
      </c>
      <c r="E418242" s="11" t="s">
        <v>14</v>
      </c>
      <c r="F418242" s="9" t="s">
        <v>15</v>
      </c>
      <c r="G418242" s="11">
        <v>1</v>
      </c>
      <c r="J418242" s="7">
        <v>1.2350000000000001</v>
      </c>
      <c r="K418242" s="11">
        <f t="shared" si="32"/>
        <v>2026</v>
      </c>
      <c r="L418242" s="11" t="s">
        <v>16</v>
      </c>
      <c r="M418242" s="11" t="s">
        <v>17</v>
      </c>
    </row>
    <row r="418243" spans="1:13" x14ac:dyDescent="0.25">
      <c r="A418243" s="6">
        <v>46129.458333333336</v>
      </c>
      <c r="B418243" s="11">
        <f t="shared" si="30"/>
        <v>4</v>
      </c>
      <c r="C418243" s="11">
        <f t="shared" si="31"/>
        <v>16</v>
      </c>
      <c r="D418243" s="5" t="s">
        <v>21</v>
      </c>
      <c r="E418243" s="11" t="s">
        <v>14</v>
      </c>
      <c r="F418243" s="9" t="s">
        <v>22</v>
      </c>
      <c r="G418243" s="11">
        <v>1</v>
      </c>
      <c r="J418243" s="7">
        <v>0.65600000000000003</v>
      </c>
      <c r="K418243" s="11">
        <f t="shared" si="32"/>
        <v>2026</v>
      </c>
      <c r="L418243" s="11" t="s">
        <v>16</v>
      </c>
      <c r="M418243" s="11" t="s">
        <v>17</v>
      </c>
    </row>
    <row r="418244" spans="1:13" x14ac:dyDescent="0.25">
      <c r="A418244" s="6">
        <v>46127</v>
      </c>
      <c r="B418244" s="11">
        <f t="shared" si="30"/>
        <v>4</v>
      </c>
      <c r="C418244" s="11">
        <f t="shared" si="31"/>
        <v>16</v>
      </c>
      <c r="D418244" s="5" t="s">
        <v>21</v>
      </c>
      <c r="E418244" s="11" t="s">
        <v>14</v>
      </c>
      <c r="F418244" s="9" t="s">
        <v>22</v>
      </c>
      <c r="G418244" s="11">
        <v>1</v>
      </c>
      <c r="J418244" s="7">
        <v>1.129</v>
      </c>
      <c r="K418244" s="11">
        <f t="shared" si="32"/>
        <v>2026</v>
      </c>
      <c r="L418244" s="11" t="s">
        <v>16</v>
      </c>
      <c r="M418244" s="11" t="s">
        <v>17</v>
      </c>
    </row>
    <row r="418245" spans="1:13" x14ac:dyDescent="0.25">
      <c r="A418245" s="6">
        <v>46127</v>
      </c>
      <c r="B418245" s="11">
        <f t="shared" si="30"/>
        <v>4</v>
      </c>
      <c r="C418245" s="11">
        <f t="shared" si="31"/>
        <v>16</v>
      </c>
      <c r="D418245" s="5" t="s">
        <v>21</v>
      </c>
      <c r="E418245" s="11" t="s">
        <v>14</v>
      </c>
      <c r="F418245" s="9" t="s">
        <v>22</v>
      </c>
      <c r="G418245" s="11">
        <v>1</v>
      </c>
      <c r="J418245" s="7">
        <v>0.52800000000000002</v>
      </c>
      <c r="K418245" s="11">
        <f t="shared" si="32"/>
        <v>2026</v>
      </c>
      <c r="L418245" s="11" t="s">
        <v>16</v>
      </c>
      <c r="M418245" s="11" t="s">
        <v>17</v>
      </c>
    </row>
    <row r="418246" spans="1:13" x14ac:dyDescent="0.25">
      <c r="A418246" s="6">
        <v>46127</v>
      </c>
      <c r="B418246" s="11">
        <f t="shared" si="30"/>
        <v>4</v>
      </c>
      <c r="C418246" s="11">
        <f t="shared" si="31"/>
        <v>16</v>
      </c>
      <c r="D418246" s="5" t="s">
        <v>21</v>
      </c>
      <c r="E418246" s="11" t="s">
        <v>14</v>
      </c>
      <c r="F418246" s="9" t="s">
        <v>22</v>
      </c>
      <c r="G418246" s="11">
        <v>1</v>
      </c>
      <c r="J418246" s="7">
        <v>0.68200000000000005</v>
      </c>
      <c r="K418246" s="11">
        <f t="shared" si="32"/>
        <v>2026</v>
      </c>
      <c r="L418246" s="11" t="s">
        <v>16</v>
      </c>
      <c r="M418246" s="11" t="s">
        <v>17</v>
      </c>
    </row>
    <row r="418247" spans="1:13" x14ac:dyDescent="0.25">
      <c r="A418247" s="6">
        <v>46127</v>
      </c>
      <c r="B418247" s="11">
        <f t="shared" si="30"/>
        <v>4</v>
      </c>
      <c r="C418247" s="11">
        <f t="shared" si="31"/>
        <v>16</v>
      </c>
      <c r="D418247" s="5" t="s">
        <v>21</v>
      </c>
      <c r="E418247" s="11" t="s">
        <v>14</v>
      </c>
      <c r="F418247" s="9" t="s">
        <v>22</v>
      </c>
      <c r="G418247" s="11">
        <v>1</v>
      </c>
      <c r="J418247" s="7">
        <v>1.3640000000000001</v>
      </c>
      <c r="K418247" s="11">
        <f t="shared" si="32"/>
        <v>2026</v>
      </c>
      <c r="L418247" s="11" t="s">
        <v>16</v>
      </c>
      <c r="M418247" s="11" t="s">
        <v>17</v>
      </c>
    </row>
    <row r="418248" spans="1:13" x14ac:dyDescent="0.25">
      <c r="A418248" s="6">
        <v>46127</v>
      </c>
      <c r="B418248" s="11">
        <f t="shared" si="30"/>
        <v>4</v>
      </c>
      <c r="C418248" s="11">
        <f t="shared" si="31"/>
        <v>16</v>
      </c>
      <c r="D418248" s="5" t="s">
        <v>21</v>
      </c>
      <c r="E418248" s="11" t="s">
        <v>14</v>
      </c>
      <c r="F418248" s="9" t="s">
        <v>22</v>
      </c>
      <c r="G418248" s="11">
        <v>1</v>
      </c>
      <c r="J418248" s="7">
        <v>0.65600000000000003</v>
      </c>
      <c r="K418248" s="11">
        <f t="shared" si="32"/>
        <v>2026</v>
      </c>
      <c r="L418248" s="11" t="s">
        <v>16</v>
      </c>
      <c r="M418248" s="11" t="s">
        <v>17</v>
      </c>
    </row>
    <row r="418249" spans="1:13" x14ac:dyDescent="0.25">
      <c r="A418249" s="6">
        <v>46127</v>
      </c>
      <c r="B418249" s="11">
        <f t="shared" si="30"/>
        <v>4</v>
      </c>
      <c r="C418249" s="11">
        <f t="shared" si="31"/>
        <v>16</v>
      </c>
      <c r="D418249" s="5" t="s">
        <v>21</v>
      </c>
      <c r="E418249" s="11" t="s">
        <v>14</v>
      </c>
      <c r="F418249" s="9" t="s">
        <v>22</v>
      </c>
      <c r="G418249" s="11">
        <v>1</v>
      </c>
      <c r="J418249" s="7">
        <v>1.363</v>
      </c>
      <c r="K418249" s="11">
        <f t="shared" si="32"/>
        <v>2026</v>
      </c>
      <c r="L418249" s="11" t="s">
        <v>16</v>
      </c>
      <c r="M418249" s="11" t="s">
        <v>17</v>
      </c>
    </row>
    <row r="418250" spans="1:13" x14ac:dyDescent="0.25">
      <c r="A418250" s="6">
        <v>46128</v>
      </c>
      <c r="B418250" s="11">
        <f t="shared" si="30"/>
        <v>4</v>
      </c>
      <c r="C418250" s="11">
        <f t="shared" si="31"/>
        <v>16</v>
      </c>
      <c r="D418250" s="5" t="s">
        <v>21</v>
      </c>
      <c r="E418250" s="11" t="s">
        <v>14</v>
      </c>
      <c r="F418250" s="9" t="s">
        <v>22</v>
      </c>
      <c r="G418250" s="11">
        <v>1</v>
      </c>
      <c r="J418250" s="7">
        <v>5.7149999999999999</v>
      </c>
      <c r="K418250" s="11">
        <f t="shared" si="32"/>
        <v>2026</v>
      </c>
      <c r="L418250" s="11" t="s">
        <v>16</v>
      </c>
      <c r="M418250" s="11" t="s">
        <v>17</v>
      </c>
    </row>
    <row r="418251" spans="1:13" x14ac:dyDescent="0.25">
      <c r="A418251" s="6">
        <v>46130.350694444445</v>
      </c>
      <c r="B418251" s="11">
        <f t="shared" si="30"/>
        <v>4</v>
      </c>
      <c r="C418251" s="11">
        <f t="shared" si="31"/>
        <v>16</v>
      </c>
      <c r="D418251" s="5" t="s">
        <v>21</v>
      </c>
      <c r="E418251" s="11" t="s">
        <v>14</v>
      </c>
      <c r="F418251" s="9" t="s">
        <v>22</v>
      </c>
      <c r="G418251" s="11">
        <v>1</v>
      </c>
      <c r="J418251" s="7">
        <v>8.0809999999999995</v>
      </c>
      <c r="K418251" s="11">
        <f t="shared" si="32"/>
        <v>2026</v>
      </c>
      <c r="L418251" s="11" t="s">
        <v>16</v>
      </c>
      <c r="M418251" s="11" t="s">
        <v>17</v>
      </c>
    </row>
    <row r="418252" spans="1:13" x14ac:dyDescent="0.25">
      <c r="A418252" s="6">
        <v>46126.541666666664</v>
      </c>
      <c r="B418252" s="11">
        <f t="shared" si="30"/>
        <v>4</v>
      </c>
      <c r="C418252" s="11">
        <f t="shared" si="31"/>
        <v>16</v>
      </c>
      <c r="D418252" s="5" t="s">
        <v>20</v>
      </c>
      <c r="E418252" s="11" t="s">
        <v>14</v>
      </c>
      <c r="F418252" s="9" t="s">
        <v>15</v>
      </c>
      <c r="G418252" s="11">
        <v>1</v>
      </c>
      <c r="J418252" s="7">
        <v>0.18</v>
      </c>
      <c r="K418252" s="11">
        <f t="shared" si="32"/>
        <v>2026</v>
      </c>
      <c r="L418252" s="11" t="s">
        <v>16</v>
      </c>
      <c r="M418252" s="11" t="s">
        <v>17</v>
      </c>
    </row>
    <row r="418253" spans="1:13" x14ac:dyDescent="0.25">
      <c r="A418253" s="6">
        <v>46126.541666666664</v>
      </c>
      <c r="B418253" s="11">
        <f t="shared" si="30"/>
        <v>4</v>
      </c>
      <c r="C418253" s="11">
        <f t="shared" si="31"/>
        <v>16</v>
      </c>
      <c r="D418253" s="5" t="s">
        <v>20</v>
      </c>
      <c r="E418253" s="11" t="s">
        <v>14</v>
      </c>
      <c r="F418253" s="9" t="s">
        <v>15</v>
      </c>
      <c r="G418253" s="11">
        <v>1</v>
      </c>
      <c r="J418253" s="7">
        <v>0.373</v>
      </c>
      <c r="K418253" s="11">
        <f t="shared" si="32"/>
        <v>2026</v>
      </c>
      <c r="L418253" s="11" t="s">
        <v>16</v>
      </c>
      <c r="M418253" s="11" t="s">
        <v>17</v>
      </c>
    </row>
    <row r="418254" spans="1:13" x14ac:dyDescent="0.25">
      <c r="A418254" s="6">
        <v>46126.541666666664</v>
      </c>
      <c r="B418254" s="11">
        <f t="shared" si="30"/>
        <v>4</v>
      </c>
      <c r="C418254" s="11">
        <f t="shared" si="31"/>
        <v>16</v>
      </c>
      <c r="D418254" s="5" t="s">
        <v>13</v>
      </c>
      <c r="E418254" s="11" t="s">
        <v>14</v>
      </c>
      <c r="F418254" s="9" t="s">
        <v>15</v>
      </c>
      <c r="G418254" s="11">
        <v>1</v>
      </c>
      <c r="J418254" s="7">
        <v>1.02</v>
      </c>
      <c r="K418254" s="11">
        <f t="shared" si="32"/>
        <v>2026</v>
      </c>
      <c r="L418254" s="11" t="s">
        <v>16</v>
      </c>
      <c r="M418254" s="11" t="s">
        <v>17</v>
      </c>
    </row>
    <row r="418255" spans="1:13" x14ac:dyDescent="0.25">
      <c r="A418255" s="6">
        <v>46126.541666666664</v>
      </c>
      <c r="B418255" s="11">
        <f t="shared" si="30"/>
        <v>4</v>
      </c>
      <c r="C418255" s="11">
        <f t="shared" si="31"/>
        <v>16</v>
      </c>
      <c r="D418255" s="5" t="s">
        <v>13</v>
      </c>
      <c r="E418255" s="11" t="s">
        <v>14</v>
      </c>
      <c r="F418255" s="9" t="s">
        <v>15</v>
      </c>
      <c r="G418255" s="11">
        <v>1</v>
      </c>
      <c r="J418255" s="7">
        <v>1.68</v>
      </c>
      <c r="K418255" s="11">
        <f t="shared" si="32"/>
        <v>2026</v>
      </c>
      <c r="L418255" s="11" t="s">
        <v>16</v>
      </c>
      <c r="M418255" s="11" t="s">
        <v>17</v>
      </c>
    </row>
    <row r="418256" spans="1:13" x14ac:dyDescent="0.25">
      <c r="A418256" s="6">
        <v>46126.375</v>
      </c>
      <c r="B418256" s="11">
        <f t="shared" si="30"/>
        <v>4</v>
      </c>
      <c r="C418256" s="11">
        <f t="shared" si="31"/>
        <v>16</v>
      </c>
      <c r="D418256" s="5" t="s">
        <v>13</v>
      </c>
      <c r="E418256" s="11" t="s">
        <v>14</v>
      </c>
      <c r="F418256" s="9" t="s">
        <v>15</v>
      </c>
      <c r="G418256" s="11">
        <v>1</v>
      </c>
      <c r="J418256" s="7">
        <v>4.5599999999999996</v>
      </c>
      <c r="K418256" s="11">
        <f t="shared" si="32"/>
        <v>2026</v>
      </c>
      <c r="L418256" s="11" t="s">
        <v>16</v>
      </c>
      <c r="M418256" s="11" t="s">
        <v>17</v>
      </c>
    </row>
    <row r="418257" spans="1:13" x14ac:dyDescent="0.25">
      <c r="A418257" s="6">
        <v>46125.583333333336</v>
      </c>
      <c r="B418257" s="11">
        <f t="shared" si="30"/>
        <v>4</v>
      </c>
      <c r="C418257" s="11">
        <f t="shared" si="31"/>
        <v>16</v>
      </c>
      <c r="D418257" s="5" t="s">
        <v>13</v>
      </c>
      <c r="E418257" s="11" t="s">
        <v>14</v>
      </c>
      <c r="F418257" s="9" t="s">
        <v>15</v>
      </c>
      <c r="G418257" s="11">
        <v>1</v>
      </c>
      <c r="J418257" s="7">
        <v>3.55</v>
      </c>
      <c r="K418257" s="11">
        <f t="shared" si="32"/>
        <v>2026</v>
      </c>
      <c r="L418257" s="11" t="s">
        <v>16</v>
      </c>
      <c r="M418257" s="11" t="s">
        <v>17</v>
      </c>
    </row>
    <row r="418258" spans="1:13" x14ac:dyDescent="0.25">
      <c r="A418258" s="6">
        <v>46125.583333333336</v>
      </c>
      <c r="B418258" s="11">
        <f t="shared" si="30"/>
        <v>4</v>
      </c>
      <c r="C418258" s="11">
        <f t="shared" si="31"/>
        <v>16</v>
      </c>
      <c r="D418258" s="5" t="s">
        <v>13</v>
      </c>
      <c r="E418258" s="11" t="s">
        <v>14</v>
      </c>
      <c r="F418258" s="9" t="s">
        <v>15</v>
      </c>
      <c r="G418258" s="11">
        <v>1</v>
      </c>
      <c r="J418258" s="7">
        <v>1.2549999999999999</v>
      </c>
      <c r="K418258" s="11">
        <f t="shared" si="32"/>
        <v>2026</v>
      </c>
      <c r="L418258" s="11" t="s">
        <v>16</v>
      </c>
      <c r="M418258" s="11" t="s">
        <v>17</v>
      </c>
    </row>
    <row r="418259" spans="1:13" x14ac:dyDescent="0.25">
      <c r="A418259" s="6">
        <v>46129.291666666664</v>
      </c>
      <c r="B418259" s="11">
        <f t="shared" si="30"/>
        <v>4</v>
      </c>
      <c r="C418259" s="11">
        <f t="shared" si="31"/>
        <v>16</v>
      </c>
      <c r="D418259" s="5" t="s">
        <v>13</v>
      </c>
      <c r="E418259" s="11" t="s">
        <v>14</v>
      </c>
      <c r="F418259" s="9" t="s">
        <v>22</v>
      </c>
      <c r="G418259" s="11">
        <v>1</v>
      </c>
      <c r="J418259" s="7">
        <v>9.1270000000000007</v>
      </c>
      <c r="K418259" s="11">
        <f t="shared" si="32"/>
        <v>2026</v>
      </c>
      <c r="L418259" s="11" t="s">
        <v>16</v>
      </c>
      <c r="M418259" s="11" t="s">
        <v>17</v>
      </c>
    </row>
    <row r="418260" spans="1:13" x14ac:dyDescent="0.25">
      <c r="A418260" s="6">
        <v>46126.088194444441</v>
      </c>
      <c r="B418260" s="11">
        <f t="shared" si="30"/>
        <v>4</v>
      </c>
      <c r="C418260" s="11">
        <f t="shared" si="31"/>
        <v>16</v>
      </c>
      <c r="D418260" s="5" t="s">
        <v>13</v>
      </c>
      <c r="E418260" s="11" t="s">
        <v>14</v>
      </c>
      <c r="F418260" s="9" t="s">
        <v>15</v>
      </c>
      <c r="G418260" s="11">
        <v>1</v>
      </c>
      <c r="J418260" s="7">
        <v>2.4</v>
      </c>
      <c r="K418260" s="11">
        <f t="shared" si="32"/>
        <v>2026</v>
      </c>
      <c r="L418260" s="11" t="s">
        <v>16</v>
      </c>
      <c r="M418260" s="11" t="s">
        <v>17</v>
      </c>
    </row>
    <row r="418261" spans="1:13" x14ac:dyDescent="0.25">
      <c r="A418261" s="6">
        <v>46126.084722222222</v>
      </c>
      <c r="B418261" s="11">
        <f t="shared" si="30"/>
        <v>4</v>
      </c>
      <c r="C418261" s="11">
        <f t="shared" si="31"/>
        <v>16</v>
      </c>
      <c r="D418261" s="5" t="s">
        <v>13</v>
      </c>
      <c r="E418261" s="11" t="s">
        <v>14</v>
      </c>
      <c r="F418261" s="9" t="s">
        <v>22</v>
      </c>
      <c r="G418261" s="11">
        <v>1</v>
      </c>
      <c r="J418261" s="7">
        <v>3.1080000000000001</v>
      </c>
      <c r="K418261" s="11">
        <f t="shared" si="32"/>
        <v>2026</v>
      </c>
      <c r="L418261" s="11" t="s">
        <v>16</v>
      </c>
      <c r="M418261" s="11" t="s">
        <v>17</v>
      </c>
    </row>
    <row r="418262" spans="1:13" x14ac:dyDescent="0.25">
      <c r="A418262" s="6">
        <v>46125.583333333336</v>
      </c>
      <c r="B418262" s="11">
        <f t="shared" si="30"/>
        <v>4</v>
      </c>
      <c r="C418262" s="11">
        <f t="shared" si="31"/>
        <v>16</v>
      </c>
      <c r="D418262" s="5" t="s">
        <v>13</v>
      </c>
      <c r="E418262" s="11" t="s">
        <v>14</v>
      </c>
      <c r="F418262" s="9" t="s">
        <v>15</v>
      </c>
      <c r="G418262" s="11">
        <v>1</v>
      </c>
      <c r="J418262" s="7">
        <v>0.93600000000000005</v>
      </c>
      <c r="K418262" s="11">
        <f t="shared" si="32"/>
        <v>2026</v>
      </c>
      <c r="L418262" s="11" t="s">
        <v>16</v>
      </c>
      <c r="M418262" s="11" t="s">
        <v>17</v>
      </c>
    </row>
    <row r="418263" spans="1:13" x14ac:dyDescent="0.25">
      <c r="A418263" s="6">
        <v>46125.583333333336</v>
      </c>
      <c r="B418263" s="11">
        <f t="shared" si="30"/>
        <v>4</v>
      </c>
      <c r="C418263" s="11">
        <f t="shared" si="31"/>
        <v>16</v>
      </c>
      <c r="D418263" s="5" t="s">
        <v>13</v>
      </c>
      <c r="E418263" s="11" t="s">
        <v>14</v>
      </c>
      <c r="F418263" s="9" t="s">
        <v>15</v>
      </c>
      <c r="G418263" s="11">
        <v>1</v>
      </c>
      <c r="J418263" s="7">
        <v>7.782</v>
      </c>
      <c r="K418263" s="11">
        <f t="shared" si="32"/>
        <v>2026</v>
      </c>
      <c r="L418263" s="11" t="s">
        <v>16</v>
      </c>
      <c r="M418263" s="11" t="s">
        <v>17</v>
      </c>
    </row>
    <row r="418264" spans="1:13" x14ac:dyDescent="0.25">
      <c r="A418264" s="6">
        <v>46126.088194444441</v>
      </c>
      <c r="B418264" s="11">
        <f t="shared" si="30"/>
        <v>4</v>
      </c>
      <c r="C418264" s="11">
        <f t="shared" si="31"/>
        <v>16</v>
      </c>
      <c r="D418264" s="5" t="s">
        <v>13</v>
      </c>
      <c r="E418264" s="11" t="s">
        <v>14</v>
      </c>
      <c r="F418264" s="9" t="s">
        <v>15</v>
      </c>
      <c r="G418264" s="11">
        <v>1</v>
      </c>
      <c r="J418264" s="7">
        <v>6.3360000000000003</v>
      </c>
      <c r="K418264" s="11">
        <f t="shared" si="32"/>
        <v>2026</v>
      </c>
      <c r="L418264" s="11" t="s">
        <v>16</v>
      </c>
      <c r="M418264" s="11" t="s">
        <v>17</v>
      </c>
    </row>
    <row r="418265" spans="1:13" x14ac:dyDescent="0.25">
      <c r="A418265" s="6">
        <v>46125.583333333336</v>
      </c>
      <c r="B418265" s="11">
        <f t="shared" si="30"/>
        <v>4</v>
      </c>
      <c r="C418265" s="11">
        <f t="shared" si="31"/>
        <v>16</v>
      </c>
      <c r="D418265" s="5" t="s">
        <v>13</v>
      </c>
      <c r="E418265" s="11" t="s">
        <v>14</v>
      </c>
      <c r="F418265" s="9" t="s">
        <v>15</v>
      </c>
      <c r="G418265" s="11">
        <v>1</v>
      </c>
      <c r="J418265" s="7">
        <v>1.5409999999999999</v>
      </c>
      <c r="K418265" s="11">
        <f t="shared" si="32"/>
        <v>2026</v>
      </c>
      <c r="L418265" s="11" t="s">
        <v>16</v>
      </c>
      <c r="M418265" s="11" t="s">
        <v>17</v>
      </c>
    </row>
    <row r="418266" spans="1:13" x14ac:dyDescent="0.25">
      <c r="A418266" s="6">
        <v>46126.088194444441</v>
      </c>
      <c r="B418266" s="11">
        <f t="shared" si="30"/>
        <v>4</v>
      </c>
      <c r="C418266" s="11">
        <f t="shared" si="31"/>
        <v>16</v>
      </c>
      <c r="D418266" s="5" t="s">
        <v>13</v>
      </c>
      <c r="E418266" s="11" t="s">
        <v>14</v>
      </c>
      <c r="F418266" s="9" t="s">
        <v>15</v>
      </c>
      <c r="G418266" s="11">
        <v>1</v>
      </c>
      <c r="J418266" s="7">
        <v>3.1680000000000001</v>
      </c>
      <c r="K418266" s="11">
        <f t="shared" si="32"/>
        <v>2026</v>
      </c>
      <c r="L418266" s="11" t="s">
        <v>16</v>
      </c>
      <c r="M418266" s="11" t="s">
        <v>17</v>
      </c>
    </row>
    <row r="418267" spans="1:13" x14ac:dyDescent="0.25">
      <c r="A418267" s="6">
        <v>46129.291666666664</v>
      </c>
      <c r="B418267" s="11">
        <f t="shared" si="30"/>
        <v>4</v>
      </c>
      <c r="C418267" s="11">
        <f t="shared" si="31"/>
        <v>16</v>
      </c>
      <c r="D418267" s="5" t="s">
        <v>13</v>
      </c>
      <c r="E418267" s="11" t="s">
        <v>14</v>
      </c>
      <c r="F418267" s="9" t="s">
        <v>22</v>
      </c>
      <c r="G418267" s="11">
        <v>1</v>
      </c>
      <c r="J418267" s="7">
        <v>2.39</v>
      </c>
      <c r="K418267" s="11">
        <f t="shared" si="32"/>
        <v>2026</v>
      </c>
      <c r="L418267" s="11" t="s">
        <v>16</v>
      </c>
      <c r="M418267" s="11" t="s">
        <v>17</v>
      </c>
    </row>
    <row r="418268" spans="1:13" x14ac:dyDescent="0.25">
      <c r="A418268" s="6">
        <v>46126.631944444445</v>
      </c>
      <c r="B418268" s="11">
        <f t="shared" ref="B418268" si="33">MONTH(A418268)</f>
        <v>4</v>
      </c>
      <c r="C418268" s="11">
        <f t="shared" ref="C418268" si="34">WEEKNUM(A418268)</f>
        <v>16</v>
      </c>
      <c r="D418268" s="5" t="s">
        <v>13</v>
      </c>
      <c r="E418268" s="11" t="s">
        <v>14</v>
      </c>
      <c r="F418268" s="9" t="s">
        <v>22</v>
      </c>
      <c r="G418268" s="11">
        <v>1</v>
      </c>
      <c r="J418268" s="7">
        <v>13.689</v>
      </c>
      <c r="K418268" s="11">
        <f t="shared" ref="K418268" si="35">YEAR(A418268)</f>
        <v>2026</v>
      </c>
      <c r="L418268" s="11" t="s">
        <v>25</v>
      </c>
      <c r="M418268" s="11" t="s">
        <v>17</v>
      </c>
    </row>
    <row r="418269" spans="1:13" x14ac:dyDescent="0.25">
      <c r="A418269" s="6">
        <v>46126.631944444445</v>
      </c>
      <c r="B418269" s="11">
        <f t="shared" ref="B418269:B418332" si="36">MONTH(A418269)</f>
        <v>4</v>
      </c>
      <c r="C418269" s="11">
        <f t="shared" ref="C418269:C418332" si="37">WEEKNUM(A418269)</f>
        <v>16</v>
      </c>
      <c r="D418269" s="5" t="s">
        <v>13</v>
      </c>
      <c r="E418269" s="11" t="s">
        <v>14</v>
      </c>
      <c r="F418269" s="9" t="s">
        <v>22</v>
      </c>
      <c r="G418269" s="11">
        <v>1</v>
      </c>
      <c r="J418269" s="7">
        <v>2.8079999999999998</v>
      </c>
      <c r="K418269" s="11">
        <f t="shared" ref="K418269:K418332" si="38">YEAR(A418269)</f>
        <v>2026</v>
      </c>
      <c r="L418269" s="11" t="s">
        <v>25</v>
      </c>
      <c r="M418269" s="11" t="s">
        <v>17</v>
      </c>
    </row>
    <row r="418270" spans="1:13" x14ac:dyDescent="0.25">
      <c r="A418270" s="6">
        <v>46126.631944444445</v>
      </c>
      <c r="B418270" s="11">
        <f t="shared" si="36"/>
        <v>4</v>
      </c>
      <c r="C418270" s="11">
        <f t="shared" si="37"/>
        <v>16</v>
      </c>
      <c r="D418270" s="5" t="s">
        <v>13</v>
      </c>
      <c r="E418270" s="11" t="s">
        <v>14</v>
      </c>
      <c r="F418270" s="9" t="s">
        <v>22</v>
      </c>
      <c r="G418270" s="11">
        <v>1</v>
      </c>
      <c r="J418270" s="7">
        <v>0.96</v>
      </c>
      <c r="K418270" s="11">
        <f t="shared" si="38"/>
        <v>2026</v>
      </c>
      <c r="L418270" s="11" t="s">
        <v>25</v>
      </c>
      <c r="M418270" s="11" t="s">
        <v>17</v>
      </c>
    </row>
    <row r="418271" spans="1:13" x14ac:dyDescent="0.25">
      <c r="A418271" s="6">
        <v>46126.631944444445</v>
      </c>
      <c r="B418271" s="11">
        <f t="shared" si="36"/>
        <v>4</v>
      </c>
      <c r="C418271" s="11">
        <f t="shared" si="37"/>
        <v>16</v>
      </c>
      <c r="D418271" s="5" t="s">
        <v>13</v>
      </c>
      <c r="E418271" s="11" t="s">
        <v>14</v>
      </c>
      <c r="F418271" s="9" t="s">
        <v>22</v>
      </c>
      <c r="G418271" s="11">
        <v>1</v>
      </c>
      <c r="J418271" s="7">
        <v>9.1349999999999998</v>
      </c>
      <c r="K418271" s="11">
        <f t="shared" si="38"/>
        <v>2026</v>
      </c>
      <c r="L418271" s="11" t="s">
        <v>25</v>
      </c>
      <c r="M418271" s="11" t="s">
        <v>17</v>
      </c>
    </row>
    <row r="418272" spans="1:13" x14ac:dyDescent="0.25">
      <c r="A418272" s="6">
        <v>46126.631944444445</v>
      </c>
      <c r="B418272" s="11">
        <f t="shared" si="36"/>
        <v>4</v>
      </c>
      <c r="C418272" s="11">
        <f t="shared" si="37"/>
        <v>16</v>
      </c>
      <c r="D418272" s="5" t="s">
        <v>13</v>
      </c>
      <c r="E418272" s="11" t="s">
        <v>14</v>
      </c>
      <c r="F418272" s="9" t="s">
        <v>22</v>
      </c>
      <c r="G418272" s="11">
        <v>1</v>
      </c>
      <c r="J418272" s="7">
        <v>1.323</v>
      </c>
      <c r="K418272" s="11">
        <f t="shared" si="38"/>
        <v>2026</v>
      </c>
      <c r="L418272" s="11" t="s">
        <v>25</v>
      </c>
      <c r="M418272" s="11" t="s">
        <v>17</v>
      </c>
    </row>
    <row r="418273" spans="1:13" x14ac:dyDescent="0.25">
      <c r="A418273" s="6">
        <v>46126.631944444445</v>
      </c>
      <c r="B418273" s="11">
        <f t="shared" si="36"/>
        <v>4</v>
      </c>
      <c r="C418273" s="11">
        <f t="shared" si="37"/>
        <v>16</v>
      </c>
      <c r="D418273" s="5" t="s">
        <v>13</v>
      </c>
      <c r="E418273" s="11" t="s">
        <v>14</v>
      </c>
      <c r="F418273" s="9" t="s">
        <v>22</v>
      </c>
      <c r="G418273" s="11">
        <v>1</v>
      </c>
      <c r="J418273" s="7">
        <v>5.5529999999999999</v>
      </c>
      <c r="K418273" s="11">
        <f t="shared" si="38"/>
        <v>2026</v>
      </c>
      <c r="L418273" s="11" t="s">
        <v>25</v>
      </c>
      <c r="M418273" s="11" t="s">
        <v>17</v>
      </c>
    </row>
    <row r="418274" spans="1:13" x14ac:dyDescent="0.25">
      <c r="A418274" s="6">
        <v>46126.631944444445</v>
      </c>
      <c r="B418274" s="11">
        <f t="shared" si="36"/>
        <v>4</v>
      </c>
      <c r="C418274" s="11">
        <f t="shared" si="37"/>
        <v>16</v>
      </c>
      <c r="D418274" s="5" t="s">
        <v>13</v>
      </c>
      <c r="E418274" s="11" t="s">
        <v>14</v>
      </c>
      <c r="F418274" s="9" t="s">
        <v>22</v>
      </c>
      <c r="G418274" s="11">
        <v>1</v>
      </c>
      <c r="J418274" s="7">
        <v>0.67200000000000004</v>
      </c>
      <c r="K418274" s="11">
        <f t="shared" si="38"/>
        <v>2026</v>
      </c>
      <c r="L418274" s="11" t="s">
        <v>25</v>
      </c>
      <c r="M418274" s="11" t="s">
        <v>17</v>
      </c>
    </row>
    <row r="418275" spans="1:13" x14ac:dyDescent="0.25">
      <c r="A418275" s="6">
        <v>46126.631944444445</v>
      </c>
      <c r="B418275" s="11">
        <f t="shared" si="36"/>
        <v>4</v>
      </c>
      <c r="C418275" s="11">
        <f t="shared" si="37"/>
        <v>16</v>
      </c>
      <c r="D418275" s="5" t="s">
        <v>13</v>
      </c>
      <c r="E418275" s="11" t="s">
        <v>14</v>
      </c>
      <c r="F418275" s="9" t="s">
        <v>22</v>
      </c>
      <c r="G418275" s="11">
        <v>1</v>
      </c>
      <c r="J418275" s="7">
        <v>1.4159999999999999</v>
      </c>
      <c r="K418275" s="11">
        <f t="shared" si="38"/>
        <v>2026</v>
      </c>
      <c r="L418275" s="11" t="s">
        <v>25</v>
      </c>
      <c r="M418275" s="11" t="s">
        <v>17</v>
      </c>
    </row>
    <row r="418276" spans="1:13" x14ac:dyDescent="0.25">
      <c r="A418276" s="6">
        <v>46126.631944444445</v>
      </c>
      <c r="B418276" s="11">
        <f t="shared" si="36"/>
        <v>4</v>
      </c>
      <c r="C418276" s="11">
        <f t="shared" si="37"/>
        <v>16</v>
      </c>
      <c r="D418276" s="5" t="s">
        <v>13</v>
      </c>
      <c r="E418276" s="11" t="s">
        <v>14</v>
      </c>
      <c r="F418276" s="9" t="s">
        <v>22</v>
      </c>
      <c r="G418276" s="11">
        <v>1</v>
      </c>
      <c r="J418276" s="7">
        <v>2.7770000000000001</v>
      </c>
      <c r="K418276" s="11">
        <f t="shared" si="38"/>
        <v>2026</v>
      </c>
      <c r="L418276" s="11" t="s">
        <v>25</v>
      </c>
      <c r="M418276" s="11" t="s">
        <v>17</v>
      </c>
    </row>
    <row r="418277" spans="1:13" x14ac:dyDescent="0.25">
      <c r="A418277" s="6">
        <v>46127.631944444445</v>
      </c>
      <c r="B418277" s="11">
        <f t="shared" si="36"/>
        <v>4</v>
      </c>
      <c r="C418277" s="11">
        <f t="shared" si="37"/>
        <v>16</v>
      </c>
      <c r="D418277" s="5" t="s">
        <v>13</v>
      </c>
      <c r="E418277" s="11" t="s">
        <v>14</v>
      </c>
      <c r="F418277" s="9" t="s">
        <v>22</v>
      </c>
      <c r="G418277" s="11">
        <v>1</v>
      </c>
      <c r="J418277" s="7">
        <v>1.323</v>
      </c>
      <c r="K418277" s="11">
        <f t="shared" si="38"/>
        <v>2026</v>
      </c>
      <c r="L418277" s="11" t="s">
        <v>25</v>
      </c>
      <c r="M418277" s="11" t="s">
        <v>17</v>
      </c>
    </row>
    <row r="418278" spans="1:13" x14ac:dyDescent="0.25">
      <c r="A418278" s="6">
        <v>46126.631944444445</v>
      </c>
      <c r="B418278" s="11">
        <f t="shared" si="36"/>
        <v>4</v>
      </c>
      <c r="C418278" s="11">
        <f t="shared" si="37"/>
        <v>16</v>
      </c>
      <c r="D418278" s="5" t="s">
        <v>13</v>
      </c>
      <c r="E418278" s="11" t="s">
        <v>14</v>
      </c>
      <c r="F418278" s="9" t="s">
        <v>22</v>
      </c>
      <c r="G418278" s="11">
        <v>1</v>
      </c>
      <c r="J418278" s="7">
        <v>2.645</v>
      </c>
      <c r="K418278" s="11">
        <f t="shared" si="38"/>
        <v>2026</v>
      </c>
      <c r="L418278" s="11" t="s">
        <v>25</v>
      </c>
      <c r="M418278" s="11" t="s">
        <v>17</v>
      </c>
    </row>
    <row r="418279" spans="1:13" x14ac:dyDescent="0.25">
      <c r="A418279" s="6">
        <v>46126.631944444445</v>
      </c>
      <c r="B418279" s="11">
        <f t="shared" si="36"/>
        <v>4</v>
      </c>
      <c r="C418279" s="11">
        <f t="shared" si="37"/>
        <v>16</v>
      </c>
      <c r="D418279" s="5" t="s">
        <v>13</v>
      </c>
      <c r="E418279" s="11" t="s">
        <v>14</v>
      </c>
      <c r="F418279" s="9" t="s">
        <v>22</v>
      </c>
      <c r="G418279" s="11">
        <v>1</v>
      </c>
      <c r="J418279" s="7">
        <v>9.0719999999999992</v>
      </c>
      <c r="K418279" s="11">
        <f t="shared" si="38"/>
        <v>2026</v>
      </c>
      <c r="L418279" s="11" t="s">
        <v>25</v>
      </c>
      <c r="M418279" s="11" t="s">
        <v>17</v>
      </c>
    </row>
    <row r="418280" spans="1:13" x14ac:dyDescent="0.25">
      <c r="A418280" s="6">
        <v>46126.631944444445</v>
      </c>
      <c r="B418280" s="11">
        <f t="shared" si="36"/>
        <v>4</v>
      </c>
      <c r="C418280" s="11">
        <f t="shared" si="37"/>
        <v>16</v>
      </c>
      <c r="D418280" s="5" t="s">
        <v>13</v>
      </c>
      <c r="E418280" s="11" t="s">
        <v>14</v>
      </c>
      <c r="F418280" s="9" t="s">
        <v>22</v>
      </c>
      <c r="G418280" s="11">
        <v>1</v>
      </c>
      <c r="J418280" s="7">
        <v>2.2269999999999999</v>
      </c>
      <c r="K418280" s="11">
        <f t="shared" si="38"/>
        <v>2026</v>
      </c>
      <c r="L418280" s="11" t="s">
        <v>25</v>
      </c>
      <c r="M418280" s="11" t="s">
        <v>17</v>
      </c>
    </row>
    <row r="418281" spans="1:13" x14ac:dyDescent="0.25">
      <c r="A418281" s="6">
        <v>46126.631944444445</v>
      </c>
      <c r="B418281" s="11">
        <f t="shared" si="36"/>
        <v>4</v>
      </c>
      <c r="C418281" s="11">
        <f t="shared" si="37"/>
        <v>16</v>
      </c>
      <c r="D418281" s="5" t="s">
        <v>13</v>
      </c>
      <c r="E418281" s="11" t="s">
        <v>14</v>
      </c>
      <c r="F418281" s="9" t="s">
        <v>22</v>
      </c>
      <c r="G418281" s="11">
        <v>1</v>
      </c>
      <c r="J418281" s="7">
        <v>7.274</v>
      </c>
      <c r="K418281" s="11">
        <f t="shared" si="38"/>
        <v>2026</v>
      </c>
      <c r="L418281" s="11" t="s">
        <v>25</v>
      </c>
      <c r="M418281" s="11" t="s">
        <v>17</v>
      </c>
    </row>
    <row r="418282" spans="1:13" x14ac:dyDescent="0.25">
      <c r="A418282" s="6">
        <v>46127</v>
      </c>
      <c r="B418282" s="11">
        <f t="shared" si="36"/>
        <v>4</v>
      </c>
      <c r="C418282" s="11">
        <f t="shared" si="37"/>
        <v>16</v>
      </c>
      <c r="D418282" s="5" t="s">
        <v>18</v>
      </c>
      <c r="E418282" s="11" t="s">
        <v>14</v>
      </c>
      <c r="F418282" s="9" t="s">
        <v>22</v>
      </c>
      <c r="G418282" s="11">
        <v>1</v>
      </c>
      <c r="J418282" s="7">
        <v>0.432</v>
      </c>
      <c r="K418282" s="11">
        <f t="shared" si="38"/>
        <v>2026</v>
      </c>
      <c r="L418282" s="11" t="s">
        <v>25</v>
      </c>
      <c r="M418282" s="11" t="s">
        <v>17</v>
      </c>
    </row>
    <row r="418283" spans="1:13" x14ac:dyDescent="0.25">
      <c r="A418283" s="6">
        <v>46126.923611111109</v>
      </c>
      <c r="B418283" s="11">
        <f t="shared" si="36"/>
        <v>4</v>
      </c>
      <c r="C418283" s="11">
        <f t="shared" si="37"/>
        <v>16</v>
      </c>
      <c r="D418283" s="5" t="s">
        <v>13</v>
      </c>
      <c r="E418283" s="11" t="s">
        <v>14</v>
      </c>
      <c r="F418283" s="9" t="s">
        <v>22</v>
      </c>
      <c r="G418283" s="11">
        <v>1</v>
      </c>
      <c r="J418283" s="7">
        <v>1.248</v>
      </c>
      <c r="K418283" s="11">
        <f t="shared" si="38"/>
        <v>2026</v>
      </c>
      <c r="L418283" s="11" t="s">
        <v>25</v>
      </c>
      <c r="M418283" s="11" t="s">
        <v>17</v>
      </c>
    </row>
    <row r="418284" spans="1:13" x14ac:dyDescent="0.25">
      <c r="A418284" s="6">
        <v>46127.166666666664</v>
      </c>
      <c r="B418284" s="11">
        <f t="shared" si="36"/>
        <v>4</v>
      </c>
      <c r="C418284" s="11">
        <f t="shared" si="37"/>
        <v>16</v>
      </c>
      <c r="D418284" s="5" t="s">
        <v>18</v>
      </c>
      <c r="E418284" s="11" t="s">
        <v>14</v>
      </c>
      <c r="F418284" s="9" t="s">
        <v>15</v>
      </c>
      <c r="G418284" s="11">
        <v>1</v>
      </c>
      <c r="J418284" s="7">
        <v>6.3860000000000001</v>
      </c>
      <c r="K418284" s="11">
        <f t="shared" si="38"/>
        <v>2026</v>
      </c>
      <c r="L418284" s="11" t="s">
        <v>25</v>
      </c>
      <c r="M418284" s="11" t="s">
        <v>17</v>
      </c>
    </row>
    <row r="418285" spans="1:13" x14ac:dyDescent="0.25">
      <c r="A418285" s="6">
        <v>46127.166666666664</v>
      </c>
      <c r="B418285" s="11">
        <f t="shared" si="36"/>
        <v>4</v>
      </c>
      <c r="C418285" s="11">
        <f t="shared" si="37"/>
        <v>16</v>
      </c>
      <c r="D418285" s="5" t="s">
        <v>18</v>
      </c>
      <c r="E418285" s="11" t="s">
        <v>14</v>
      </c>
      <c r="F418285" s="9" t="s">
        <v>15</v>
      </c>
      <c r="G418285" s="11">
        <v>1</v>
      </c>
      <c r="J418285" s="7">
        <v>3.8260000000000001</v>
      </c>
      <c r="K418285" s="11">
        <f t="shared" si="38"/>
        <v>2026</v>
      </c>
      <c r="L418285" s="11" t="s">
        <v>25</v>
      </c>
      <c r="M418285" s="11" t="s">
        <v>17</v>
      </c>
    </row>
    <row r="418286" spans="1:13" x14ac:dyDescent="0.25">
      <c r="A418286" s="6">
        <v>46127.166666666664</v>
      </c>
      <c r="B418286" s="11">
        <f t="shared" si="36"/>
        <v>4</v>
      </c>
      <c r="C418286" s="11">
        <f t="shared" si="37"/>
        <v>16</v>
      </c>
      <c r="D418286" s="5" t="s">
        <v>18</v>
      </c>
      <c r="E418286" s="11" t="s">
        <v>14</v>
      </c>
      <c r="F418286" s="9" t="s">
        <v>15</v>
      </c>
      <c r="G418286" s="11">
        <v>1</v>
      </c>
      <c r="J418286" s="7">
        <v>0.30199999999999999</v>
      </c>
      <c r="K418286" s="11">
        <f t="shared" si="38"/>
        <v>2026</v>
      </c>
      <c r="L418286" s="11" t="s">
        <v>25</v>
      </c>
      <c r="M418286" s="11" t="s">
        <v>17</v>
      </c>
    </row>
    <row r="418287" spans="1:13" x14ac:dyDescent="0.25">
      <c r="A418287" s="6">
        <v>46127.166666666664</v>
      </c>
      <c r="B418287" s="11">
        <f t="shared" si="36"/>
        <v>4</v>
      </c>
      <c r="C418287" s="11">
        <f t="shared" si="37"/>
        <v>16</v>
      </c>
      <c r="D418287" s="5" t="s">
        <v>18</v>
      </c>
      <c r="E418287" s="11" t="s">
        <v>14</v>
      </c>
      <c r="F418287" s="9" t="s">
        <v>15</v>
      </c>
      <c r="G418287" s="11">
        <v>1</v>
      </c>
      <c r="J418287" s="7">
        <v>0.26400000000000001</v>
      </c>
      <c r="K418287" s="11">
        <f t="shared" si="38"/>
        <v>2026</v>
      </c>
      <c r="L418287" s="11" t="s">
        <v>25</v>
      </c>
      <c r="M418287" s="11" t="s">
        <v>17</v>
      </c>
    </row>
    <row r="418288" spans="1:13" x14ac:dyDescent="0.25">
      <c r="A418288" s="6">
        <v>46127.166666666664</v>
      </c>
      <c r="B418288" s="11">
        <f t="shared" si="36"/>
        <v>4</v>
      </c>
      <c r="C418288" s="11">
        <f t="shared" si="37"/>
        <v>16</v>
      </c>
      <c r="D418288" s="5" t="s">
        <v>18</v>
      </c>
      <c r="E418288" s="11" t="s">
        <v>14</v>
      </c>
      <c r="F418288" s="9" t="s">
        <v>15</v>
      </c>
      <c r="G418288" s="11">
        <v>1</v>
      </c>
      <c r="J418288" s="7">
        <v>0.26400000000000001</v>
      </c>
      <c r="K418288" s="11">
        <f t="shared" si="38"/>
        <v>2026</v>
      </c>
      <c r="L418288" s="11" t="s">
        <v>25</v>
      </c>
      <c r="M418288" s="11" t="s">
        <v>17</v>
      </c>
    </row>
    <row r="418289" spans="1:13" x14ac:dyDescent="0.25">
      <c r="A418289" s="6">
        <v>46127.166666666664</v>
      </c>
      <c r="B418289" s="11">
        <f t="shared" si="36"/>
        <v>4</v>
      </c>
      <c r="C418289" s="11">
        <f t="shared" si="37"/>
        <v>16</v>
      </c>
      <c r="D418289" s="5" t="s">
        <v>18</v>
      </c>
      <c r="E418289" s="11" t="s">
        <v>14</v>
      </c>
      <c r="F418289" s="9" t="s">
        <v>15</v>
      </c>
      <c r="G418289" s="11">
        <v>1</v>
      </c>
      <c r="J418289" s="7">
        <v>0.183</v>
      </c>
      <c r="K418289" s="11">
        <f t="shared" si="38"/>
        <v>2026</v>
      </c>
      <c r="L418289" s="11" t="s">
        <v>25</v>
      </c>
      <c r="M418289" s="11" t="s">
        <v>17</v>
      </c>
    </row>
    <row r="418290" spans="1:13" x14ac:dyDescent="0.25">
      <c r="A418290" s="6">
        <v>46127.166666666664</v>
      </c>
      <c r="B418290" s="11">
        <f t="shared" si="36"/>
        <v>4</v>
      </c>
      <c r="C418290" s="11">
        <f t="shared" si="37"/>
        <v>16</v>
      </c>
      <c r="D418290" s="5" t="s">
        <v>18</v>
      </c>
      <c r="E418290" s="11" t="s">
        <v>14</v>
      </c>
      <c r="F418290" s="9" t="s">
        <v>15</v>
      </c>
      <c r="G418290" s="11">
        <v>1</v>
      </c>
      <c r="J418290" s="7">
        <v>0.98899999999999999</v>
      </c>
      <c r="K418290" s="11">
        <f t="shared" si="38"/>
        <v>2026</v>
      </c>
      <c r="L418290" s="11" t="s">
        <v>25</v>
      </c>
      <c r="M418290" s="11" t="s">
        <v>17</v>
      </c>
    </row>
    <row r="418291" spans="1:13" x14ac:dyDescent="0.25">
      <c r="A418291" s="6">
        <v>46127.166666666664</v>
      </c>
      <c r="B418291" s="11">
        <f t="shared" si="36"/>
        <v>4</v>
      </c>
      <c r="C418291" s="11">
        <f t="shared" si="37"/>
        <v>16</v>
      </c>
      <c r="D418291" s="5" t="s">
        <v>18</v>
      </c>
      <c r="E418291" s="11" t="s">
        <v>14</v>
      </c>
      <c r="F418291" s="9" t="s">
        <v>15</v>
      </c>
      <c r="G418291" s="11">
        <v>1</v>
      </c>
      <c r="J418291" s="7">
        <v>0.44</v>
      </c>
      <c r="K418291" s="11">
        <f t="shared" si="38"/>
        <v>2026</v>
      </c>
      <c r="L418291" s="11" t="s">
        <v>25</v>
      </c>
      <c r="M418291" s="11" t="s">
        <v>17</v>
      </c>
    </row>
    <row r="418292" spans="1:13" x14ac:dyDescent="0.25">
      <c r="A418292" s="6">
        <v>46127.166666666664</v>
      </c>
      <c r="B418292" s="11">
        <f t="shared" si="36"/>
        <v>4</v>
      </c>
      <c r="C418292" s="11">
        <f t="shared" si="37"/>
        <v>16</v>
      </c>
      <c r="D418292" s="5" t="s">
        <v>18</v>
      </c>
      <c r="E418292" s="11" t="s">
        <v>14</v>
      </c>
      <c r="F418292" s="9" t="s">
        <v>15</v>
      </c>
      <c r="G418292" s="11">
        <v>1</v>
      </c>
      <c r="J418292" s="7">
        <v>0.28999999999999998</v>
      </c>
      <c r="K418292" s="11">
        <f t="shared" si="38"/>
        <v>2026</v>
      </c>
      <c r="L418292" s="11" t="s">
        <v>25</v>
      </c>
      <c r="M418292" s="11" t="s">
        <v>17</v>
      </c>
    </row>
    <row r="418293" spans="1:13" x14ac:dyDescent="0.25">
      <c r="A418293" s="6">
        <v>46127.166666666664</v>
      </c>
      <c r="B418293" s="11">
        <f t="shared" si="36"/>
        <v>4</v>
      </c>
      <c r="C418293" s="11">
        <f t="shared" si="37"/>
        <v>16</v>
      </c>
      <c r="D418293" s="5" t="s">
        <v>18</v>
      </c>
      <c r="E418293" s="11" t="s">
        <v>14</v>
      </c>
      <c r="F418293" s="9" t="s">
        <v>15</v>
      </c>
      <c r="G418293" s="11">
        <v>1</v>
      </c>
      <c r="J418293" s="7">
        <v>0.753</v>
      </c>
      <c r="K418293" s="11">
        <f t="shared" si="38"/>
        <v>2026</v>
      </c>
      <c r="L418293" s="11" t="s">
        <v>25</v>
      </c>
      <c r="M418293" s="11" t="s">
        <v>17</v>
      </c>
    </row>
    <row r="418294" spans="1:13" x14ac:dyDescent="0.25">
      <c r="A418294" s="6">
        <v>46126.916666666664</v>
      </c>
      <c r="B418294" s="11">
        <f t="shared" si="36"/>
        <v>4</v>
      </c>
      <c r="C418294" s="11">
        <f t="shared" si="37"/>
        <v>16</v>
      </c>
      <c r="D418294" s="5" t="s">
        <v>18</v>
      </c>
      <c r="E418294" s="11" t="s">
        <v>14</v>
      </c>
      <c r="F418294" s="9" t="s">
        <v>15</v>
      </c>
      <c r="G418294" s="11">
        <v>1</v>
      </c>
      <c r="J418294" s="7">
        <v>4.0890000000000004</v>
      </c>
      <c r="K418294" s="11">
        <f t="shared" si="38"/>
        <v>2026</v>
      </c>
      <c r="L418294" s="11" t="s">
        <v>25</v>
      </c>
      <c r="M418294" s="11" t="s">
        <v>17</v>
      </c>
    </row>
    <row r="418295" spans="1:13" x14ac:dyDescent="0.25">
      <c r="A418295" s="6">
        <v>46127.166666666664</v>
      </c>
      <c r="B418295" s="11">
        <f t="shared" si="36"/>
        <v>4</v>
      </c>
      <c r="C418295" s="11">
        <f t="shared" si="37"/>
        <v>16</v>
      </c>
      <c r="D418295" s="5" t="s">
        <v>18</v>
      </c>
      <c r="E418295" s="11" t="s">
        <v>14</v>
      </c>
      <c r="F418295" s="9" t="s">
        <v>15</v>
      </c>
      <c r="G418295" s="11">
        <v>1</v>
      </c>
      <c r="J418295" s="7">
        <v>4.7439999999999998</v>
      </c>
      <c r="K418295" s="11">
        <f t="shared" si="38"/>
        <v>2026</v>
      </c>
      <c r="L418295" s="11" t="s">
        <v>25</v>
      </c>
      <c r="M418295" s="11" t="s">
        <v>17</v>
      </c>
    </row>
    <row r="418296" spans="1:13" x14ac:dyDescent="0.25">
      <c r="A418296" s="6">
        <v>46126.916666666664</v>
      </c>
      <c r="B418296" s="11">
        <f t="shared" si="36"/>
        <v>4</v>
      </c>
      <c r="C418296" s="11">
        <f t="shared" si="37"/>
        <v>16</v>
      </c>
      <c r="D418296" s="5" t="s">
        <v>18</v>
      </c>
      <c r="E418296" s="11" t="s">
        <v>14</v>
      </c>
      <c r="F418296" s="9" t="s">
        <v>15</v>
      </c>
      <c r="G418296" s="11">
        <v>1</v>
      </c>
      <c r="J418296" s="7">
        <v>3.7189999999999999</v>
      </c>
      <c r="K418296" s="11">
        <f t="shared" si="38"/>
        <v>2026</v>
      </c>
      <c r="L418296" s="11" t="s">
        <v>25</v>
      </c>
      <c r="M418296" s="11" t="s">
        <v>17</v>
      </c>
    </row>
    <row r="418297" spans="1:13" x14ac:dyDescent="0.25">
      <c r="A418297" s="6">
        <v>46127.166666666664</v>
      </c>
      <c r="B418297" s="11">
        <f t="shared" si="36"/>
        <v>4</v>
      </c>
      <c r="C418297" s="11">
        <f t="shared" si="37"/>
        <v>16</v>
      </c>
      <c r="D418297" s="5" t="s">
        <v>18</v>
      </c>
      <c r="E418297" s="11" t="s">
        <v>14</v>
      </c>
      <c r="F418297" s="9" t="s">
        <v>15</v>
      </c>
      <c r="G418297" s="11">
        <v>1</v>
      </c>
      <c r="J418297" s="7">
        <v>0.435</v>
      </c>
      <c r="K418297" s="11">
        <f t="shared" si="38"/>
        <v>2026</v>
      </c>
      <c r="L418297" s="11" t="s">
        <v>25</v>
      </c>
      <c r="M418297" s="11" t="s">
        <v>17</v>
      </c>
    </row>
    <row r="418298" spans="1:13" x14ac:dyDescent="0.25">
      <c r="A418298" s="6">
        <v>46127</v>
      </c>
      <c r="B418298" s="11">
        <f t="shared" si="36"/>
        <v>4</v>
      </c>
      <c r="C418298" s="11">
        <f t="shared" si="37"/>
        <v>16</v>
      </c>
      <c r="D418298" s="5" t="s">
        <v>18</v>
      </c>
      <c r="E418298" s="11" t="s">
        <v>14</v>
      </c>
      <c r="F418298" s="9" t="s">
        <v>22</v>
      </c>
      <c r="G418298" s="11">
        <v>1</v>
      </c>
      <c r="J418298" s="7">
        <v>1.8240000000000001</v>
      </c>
      <c r="K418298" s="11">
        <f t="shared" si="38"/>
        <v>2026</v>
      </c>
      <c r="L418298" s="11" t="s">
        <v>25</v>
      </c>
      <c r="M418298" s="11" t="s">
        <v>17</v>
      </c>
    </row>
    <row r="418299" spans="1:13" x14ac:dyDescent="0.25">
      <c r="A418299" s="6">
        <v>46127</v>
      </c>
      <c r="B418299" s="11">
        <f t="shared" si="36"/>
        <v>4</v>
      </c>
      <c r="C418299" s="11">
        <f t="shared" si="37"/>
        <v>16</v>
      </c>
      <c r="D418299" s="5" t="s">
        <v>18</v>
      </c>
      <c r="E418299" s="11" t="s">
        <v>14</v>
      </c>
      <c r="F418299" s="9" t="s">
        <v>22</v>
      </c>
      <c r="G418299" s="11">
        <v>1</v>
      </c>
      <c r="J418299" s="7">
        <v>10.368</v>
      </c>
      <c r="K418299" s="11">
        <f t="shared" si="38"/>
        <v>2026</v>
      </c>
      <c r="L418299" s="11" t="s">
        <v>25</v>
      </c>
      <c r="M418299" s="11" t="s">
        <v>17</v>
      </c>
    </row>
    <row r="418300" spans="1:13" x14ac:dyDescent="0.25">
      <c r="A418300" s="6">
        <v>46128.5</v>
      </c>
      <c r="B418300" s="11">
        <f t="shared" si="36"/>
        <v>4</v>
      </c>
      <c r="C418300" s="11">
        <f t="shared" si="37"/>
        <v>16</v>
      </c>
      <c r="D418300" s="5" t="s">
        <v>18</v>
      </c>
      <c r="E418300" s="11" t="s">
        <v>14</v>
      </c>
      <c r="F418300" s="9" t="s">
        <v>15</v>
      </c>
      <c r="G418300" s="11">
        <v>1</v>
      </c>
      <c r="J418300" s="7">
        <v>2.9649999999999999</v>
      </c>
      <c r="K418300" s="11">
        <f t="shared" si="38"/>
        <v>2026</v>
      </c>
      <c r="L418300" s="11" t="s">
        <v>25</v>
      </c>
      <c r="M418300" s="11" t="s">
        <v>17</v>
      </c>
    </row>
    <row r="418301" spans="1:13" x14ac:dyDescent="0.25">
      <c r="A418301" s="6">
        <v>46128.791666666664</v>
      </c>
      <c r="B418301" s="11">
        <f t="shared" si="36"/>
        <v>4</v>
      </c>
      <c r="C418301" s="11">
        <f t="shared" si="37"/>
        <v>16</v>
      </c>
      <c r="D418301" s="5" t="s">
        <v>18</v>
      </c>
      <c r="E418301" s="11" t="s">
        <v>14</v>
      </c>
      <c r="F418301" s="9" t="s">
        <v>22</v>
      </c>
      <c r="G418301" s="11">
        <v>1</v>
      </c>
      <c r="J418301" s="7">
        <v>1.58</v>
      </c>
      <c r="K418301" s="11">
        <f t="shared" si="38"/>
        <v>2026</v>
      </c>
      <c r="L418301" s="11" t="s">
        <v>25</v>
      </c>
      <c r="M418301" s="11" t="s">
        <v>17</v>
      </c>
    </row>
    <row r="418302" spans="1:13" x14ac:dyDescent="0.25">
      <c r="A418302" s="6">
        <v>46128</v>
      </c>
      <c r="B418302" s="11">
        <f t="shared" si="36"/>
        <v>4</v>
      </c>
      <c r="C418302" s="11">
        <f t="shared" si="37"/>
        <v>16</v>
      </c>
      <c r="D418302" s="5" t="s">
        <v>13</v>
      </c>
      <c r="E418302" s="11" t="s">
        <v>14</v>
      </c>
      <c r="F418302" s="9" t="s">
        <v>22</v>
      </c>
      <c r="G418302" s="11">
        <v>1</v>
      </c>
      <c r="J418302" s="7">
        <v>2.5999999999999999E-2</v>
      </c>
      <c r="K418302" s="11">
        <f t="shared" si="38"/>
        <v>2026</v>
      </c>
      <c r="L418302" s="11" t="s">
        <v>25</v>
      </c>
      <c r="M418302" s="11" t="s">
        <v>17</v>
      </c>
    </row>
    <row r="418303" spans="1:13" x14ac:dyDescent="0.25">
      <c r="A418303" s="6">
        <v>46130</v>
      </c>
      <c r="B418303" s="11">
        <f t="shared" si="36"/>
        <v>4</v>
      </c>
      <c r="C418303" s="11">
        <f t="shared" si="37"/>
        <v>16</v>
      </c>
      <c r="D418303" s="5" t="s">
        <v>23</v>
      </c>
      <c r="E418303" s="11" t="s">
        <v>14</v>
      </c>
      <c r="F418303" s="9" t="s">
        <v>22</v>
      </c>
      <c r="G418303" s="11">
        <v>1</v>
      </c>
      <c r="J418303" s="7">
        <v>4.3780000000000001</v>
      </c>
      <c r="K418303" s="11">
        <f t="shared" si="38"/>
        <v>2026</v>
      </c>
      <c r="L418303" s="11" t="s">
        <v>25</v>
      </c>
      <c r="M418303" s="11" t="s">
        <v>17</v>
      </c>
    </row>
    <row r="418304" spans="1:13" x14ac:dyDescent="0.25">
      <c r="A418304" s="6">
        <v>46128</v>
      </c>
      <c r="B418304" s="11">
        <f t="shared" si="36"/>
        <v>4</v>
      </c>
      <c r="C418304" s="11">
        <f t="shared" si="37"/>
        <v>16</v>
      </c>
      <c r="D418304" s="5" t="s">
        <v>21</v>
      </c>
      <c r="E418304" s="11" t="s">
        <v>14</v>
      </c>
      <c r="F418304" s="9" t="s">
        <v>22</v>
      </c>
      <c r="G418304" s="11">
        <v>1</v>
      </c>
      <c r="J418304" s="7">
        <v>1.127</v>
      </c>
      <c r="K418304" s="11">
        <f t="shared" si="38"/>
        <v>2026</v>
      </c>
      <c r="L418304" s="11" t="s">
        <v>25</v>
      </c>
      <c r="M418304" s="11" t="s">
        <v>17</v>
      </c>
    </row>
    <row r="418305" spans="1:13" x14ac:dyDescent="0.25">
      <c r="A418305" s="6">
        <v>46127.458333333336</v>
      </c>
      <c r="B418305" s="11">
        <f t="shared" si="36"/>
        <v>4</v>
      </c>
      <c r="C418305" s="11">
        <f t="shared" si="37"/>
        <v>16</v>
      </c>
      <c r="D418305" s="5" t="s">
        <v>18</v>
      </c>
      <c r="E418305" s="11" t="s">
        <v>14</v>
      </c>
      <c r="F418305" s="9" t="s">
        <v>15</v>
      </c>
      <c r="G418305" s="11">
        <v>1</v>
      </c>
      <c r="J418305" s="7">
        <v>1.675</v>
      </c>
      <c r="K418305" s="11">
        <f t="shared" si="38"/>
        <v>2026</v>
      </c>
      <c r="L418305" s="11" t="s">
        <v>25</v>
      </c>
      <c r="M418305" s="11" t="s">
        <v>17</v>
      </c>
    </row>
    <row r="418306" spans="1:13" x14ac:dyDescent="0.25">
      <c r="A418306" s="6">
        <v>46124.529861111114</v>
      </c>
      <c r="B418306" s="11">
        <f t="shared" si="36"/>
        <v>4</v>
      </c>
      <c r="C418306" s="11">
        <f t="shared" si="37"/>
        <v>16</v>
      </c>
      <c r="D418306" s="5" t="s">
        <v>23</v>
      </c>
      <c r="E418306" s="11" t="s">
        <v>14</v>
      </c>
      <c r="F418306" s="9" t="s">
        <v>22</v>
      </c>
      <c r="G418306" s="11">
        <v>1</v>
      </c>
      <c r="J418306" s="7">
        <v>8.7999999999999995E-2</v>
      </c>
      <c r="K418306" s="11">
        <f t="shared" si="38"/>
        <v>2026</v>
      </c>
      <c r="L418306" s="11" t="s">
        <v>25</v>
      </c>
      <c r="M418306" s="11" t="s">
        <v>17</v>
      </c>
    </row>
    <row r="418307" spans="1:13" x14ac:dyDescent="0.25">
      <c r="A418307" s="6">
        <v>46127</v>
      </c>
      <c r="B418307" s="11">
        <f t="shared" si="36"/>
        <v>4</v>
      </c>
      <c r="C418307" s="11">
        <f t="shared" si="37"/>
        <v>16</v>
      </c>
      <c r="D418307" s="5" t="s">
        <v>20</v>
      </c>
      <c r="E418307" s="11" t="s">
        <v>14</v>
      </c>
      <c r="F418307" s="9" t="s">
        <v>22</v>
      </c>
      <c r="G418307" s="11">
        <v>1</v>
      </c>
      <c r="J418307" s="7">
        <v>1.1870000000000001</v>
      </c>
      <c r="K418307" s="11">
        <f t="shared" si="38"/>
        <v>2026</v>
      </c>
      <c r="L418307" s="11" t="s">
        <v>25</v>
      </c>
      <c r="M418307" s="11" t="s">
        <v>17</v>
      </c>
    </row>
    <row r="418308" spans="1:13" x14ac:dyDescent="0.25">
      <c r="A418308" s="6">
        <v>46127</v>
      </c>
      <c r="B418308" s="11">
        <f t="shared" si="36"/>
        <v>4</v>
      </c>
      <c r="C418308" s="11">
        <f t="shared" si="37"/>
        <v>16</v>
      </c>
      <c r="D418308" s="5" t="s">
        <v>20</v>
      </c>
      <c r="E418308" s="11" t="s">
        <v>14</v>
      </c>
      <c r="F418308" s="9" t="s">
        <v>22</v>
      </c>
      <c r="G418308" s="11">
        <v>1</v>
      </c>
      <c r="J418308" s="7">
        <v>1.1870000000000001</v>
      </c>
      <c r="K418308" s="11">
        <f t="shared" si="38"/>
        <v>2026</v>
      </c>
      <c r="L418308" s="11" t="s">
        <v>25</v>
      </c>
      <c r="M418308" s="11" t="s">
        <v>17</v>
      </c>
    </row>
    <row r="418309" spans="1:13" x14ac:dyDescent="0.25">
      <c r="A418309" s="6">
        <v>46127.458333333336</v>
      </c>
      <c r="B418309" s="11">
        <f t="shared" si="36"/>
        <v>4</v>
      </c>
      <c r="C418309" s="11">
        <f t="shared" si="37"/>
        <v>16</v>
      </c>
      <c r="D418309" s="5" t="s">
        <v>18</v>
      </c>
      <c r="E418309" s="11" t="s">
        <v>14</v>
      </c>
      <c r="F418309" s="9" t="s">
        <v>15</v>
      </c>
      <c r="G418309" s="11">
        <v>1</v>
      </c>
      <c r="J418309" s="7">
        <v>10.589</v>
      </c>
      <c r="K418309" s="11">
        <f t="shared" si="38"/>
        <v>2026</v>
      </c>
      <c r="L418309" s="11" t="s">
        <v>25</v>
      </c>
      <c r="M418309" s="11" t="s">
        <v>17</v>
      </c>
    </row>
    <row r="418310" spans="1:13" x14ac:dyDescent="0.25">
      <c r="A418310" s="6">
        <v>46127.458333333336</v>
      </c>
      <c r="B418310" s="11">
        <f t="shared" si="36"/>
        <v>4</v>
      </c>
      <c r="C418310" s="11">
        <f t="shared" si="37"/>
        <v>16</v>
      </c>
      <c r="D418310" s="5" t="s">
        <v>13</v>
      </c>
      <c r="E418310" s="11" t="s">
        <v>14</v>
      </c>
      <c r="F418310" s="9" t="s">
        <v>15</v>
      </c>
      <c r="G418310" s="11">
        <v>1</v>
      </c>
      <c r="J418310" s="7">
        <v>0.245</v>
      </c>
      <c r="K418310" s="11">
        <f t="shared" si="38"/>
        <v>2026</v>
      </c>
      <c r="L418310" s="11" t="s">
        <v>25</v>
      </c>
      <c r="M418310" s="11" t="s">
        <v>17</v>
      </c>
    </row>
    <row r="418311" spans="1:13" x14ac:dyDescent="0.25">
      <c r="A418311" s="6">
        <v>46127</v>
      </c>
      <c r="B418311" s="11">
        <f t="shared" si="36"/>
        <v>4</v>
      </c>
      <c r="C418311" s="11">
        <f t="shared" si="37"/>
        <v>16</v>
      </c>
      <c r="D418311" s="5" t="s">
        <v>13</v>
      </c>
      <c r="E418311" s="11" t="s">
        <v>14</v>
      </c>
      <c r="F418311" s="9" t="s">
        <v>22</v>
      </c>
      <c r="G418311" s="11">
        <v>1</v>
      </c>
      <c r="J418311" s="7">
        <v>4.2149999999999999</v>
      </c>
      <c r="K418311" s="11">
        <f t="shared" si="38"/>
        <v>2026</v>
      </c>
      <c r="L418311" s="11" t="s">
        <v>25</v>
      </c>
      <c r="M418311" s="11" t="s">
        <v>17</v>
      </c>
    </row>
    <row r="418312" spans="1:13" x14ac:dyDescent="0.25">
      <c r="A418312" s="6">
        <v>46127.458333333336</v>
      </c>
      <c r="B418312" s="11">
        <f t="shared" si="36"/>
        <v>4</v>
      </c>
      <c r="C418312" s="11">
        <f t="shared" si="37"/>
        <v>16</v>
      </c>
      <c r="D418312" s="5" t="s">
        <v>13</v>
      </c>
      <c r="E418312" s="11" t="s">
        <v>14</v>
      </c>
      <c r="F418312" s="9" t="s">
        <v>15</v>
      </c>
      <c r="G418312" s="11">
        <v>1</v>
      </c>
      <c r="J418312" s="7">
        <v>1.492</v>
      </c>
      <c r="K418312" s="11">
        <f t="shared" si="38"/>
        <v>2026</v>
      </c>
      <c r="L418312" s="11" t="s">
        <v>25</v>
      </c>
      <c r="M418312" s="11" t="s">
        <v>17</v>
      </c>
    </row>
    <row r="418313" spans="1:13" x14ac:dyDescent="0.25">
      <c r="A418313" s="6">
        <v>46127.458333333336</v>
      </c>
      <c r="B418313" s="11">
        <f t="shared" si="36"/>
        <v>4</v>
      </c>
      <c r="C418313" s="11">
        <f t="shared" si="37"/>
        <v>16</v>
      </c>
      <c r="D418313" s="5" t="s">
        <v>13</v>
      </c>
      <c r="E418313" s="11" t="s">
        <v>14</v>
      </c>
      <c r="F418313" s="9" t="s">
        <v>15</v>
      </c>
      <c r="G418313" s="11">
        <v>1</v>
      </c>
      <c r="J418313" s="7">
        <v>3.6240000000000001</v>
      </c>
      <c r="K418313" s="11">
        <f t="shared" si="38"/>
        <v>2026</v>
      </c>
      <c r="L418313" s="11" t="s">
        <v>25</v>
      </c>
      <c r="M418313" s="11" t="s">
        <v>17</v>
      </c>
    </row>
    <row r="418314" spans="1:13" x14ac:dyDescent="0.25">
      <c r="A418314" s="6">
        <v>46127.458333333336</v>
      </c>
      <c r="B418314" s="11">
        <f t="shared" si="36"/>
        <v>4</v>
      </c>
      <c r="C418314" s="11">
        <f t="shared" si="37"/>
        <v>16</v>
      </c>
      <c r="D418314" s="5" t="s">
        <v>13</v>
      </c>
      <c r="E418314" s="11" t="s">
        <v>14</v>
      </c>
      <c r="F418314" s="9" t="s">
        <v>15</v>
      </c>
      <c r="G418314" s="11">
        <v>1</v>
      </c>
      <c r="J418314" s="7">
        <v>2.9889999999999999</v>
      </c>
      <c r="K418314" s="11">
        <f t="shared" si="38"/>
        <v>2026</v>
      </c>
      <c r="L418314" s="11" t="s">
        <v>25</v>
      </c>
      <c r="M418314" s="11" t="s">
        <v>17</v>
      </c>
    </row>
    <row r="418315" spans="1:13" x14ac:dyDescent="0.25">
      <c r="A418315" s="6">
        <v>46127.458333333336</v>
      </c>
      <c r="B418315" s="11">
        <f t="shared" si="36"/>
        <v>4</v>
      </c>
      <c r="C418315" s="11">
        <f t="shared" si="37"/>
        <v>16</v>
      </c>
      <c r="D418315" s="5" t="s">
        <v>13</v>
      </c>
      <c r="E418315" s="11" t="s">
        <v>14</v>
      </c>
      <c r="F418315" s="9" t="s">
        <v>15</v>
      </c>
      <c r="G418315" s="11">
        <v>1</v>
      </c>
      <c r="J418315" s="7">
        <v>1.786</v>
      </c>
      <c r="K418315" s="11">
        <f t="shared" si="38"/>
        <v>2026</v>
      </c>
      <c r="L418315" s="11" t="s">
        <v>25</v>
      </c>
      <c r="M418315" s="11" t="s">
        <v>17</v>
      </c>
    </row>
    <row r="418316" spans="1:13" x14ac:dyDescent="0.25">
      <c r="A418316" s="6">
        <v>46127.458333333336</v>
      </c>
      <c r="B418316" s="11">
        <f t="shared" si="36"/>
        <v>4</v>
      </c>
      <c r="C418316" s="11">
        <f t="shared" si="37"/>
        <v>16</v>
      </c>
      <c r="D418316" s="5" t="s">
        <v>13</v>
      </c>
      <c r="E418316" s="11" t="s">
        <v>14</v>
      </c>
      <c r="F418316" s="9" t="s">
        <v>15</v>
      </c>
      <c r="G418316" s="11">
        <v>1</v>
      </c>
      <c r="J418316" s="7">
        <v>0.86399999999999999</v>
      </c>
      <c r="K418316" s="11">
        <f t="shared" si="38"/>
        <v>2026</v>
      </c>
      <c r="L418316" s="11" t="s">
        <v>25</v>
      </c>
      <c r="M418316" s="11" t="s">
        <v>17</v>
      </c>
    </row>
    <row r="418317" spans="1:13" x14ac:dyDescent="0.25">
      <c r="A418317" s="6">
        <v>46128</v>
      </c>
      <c r="B418317" s="11">
        <f t="shared" si="36"/>
        <v>4</v>
      </c>
      <c r="C418317" s="11">
        <f t="shared" si="37"/>
        <v>16</v>
      </c>
      <c r="D418317" s="5" t="s">
        <v>21</v>
      </c>
      <c r="E418317" s="11" t="s">
        <v>14</v>
      </c>
      <c r="F418317" s="9" t="s">
        <v>22</v>
      </c>
      <c r="G418317" s="11">
        <v>1</v>
      </c>
      <c r="J418317" s="7">
        <v>0.51200000000000001</v>
      </c>
      <c r="K418317" s="11">
        <f t="shared" si="38"/>
        <v>2026</v>
      </c>
      <c r="L418317" s="11" t="s">
        <v>25</v>
      </c>
      <c r="M418317" s="11" t="s">
        <v>17</v>
      </c>
    </row>
    <row r="418318" spans="1:13" x14ac:dyDescent="0.25">
      <c r="A418318" s="6">
        <v>46125</v>
      </c>
      <c r="B418318" s="11">
        <f t="shared" si="36"/>
        <v>4</v>
      </c>
      <c r="C418318" s="11">
        <f t="shared" si="37"/>
        <v>16</v>
      </c>
      <c r="D418318" s="5" t="s">
        <v>18</v>
      </c>
      <c r="E418318" s="11" t="s">
        <v>14</v>
      </c>
      <c r="F418318" s="9" t="s">
        <v>22</v>
      </c>
      <c r="G418318" s="11">
        <v>1</v>
      </c>
      <c r="J418318" s="7">
        <v>1.7110000000000001</v>
      </c>
      <c r="K418318" s="11">
        <f t="shared" si="38"/>
        <v>2026</v>
      </c>
      <c r="L418318" s="11" t="s">
        <v>25</v>
      </c>
      <c r="M418318" s="11" t="s">
        <v>17</v>
      </c>
    </row>
    <row r="418319" spans="1:13" x14ac:dyDescent="0.25">
      <c r="A418319" s="6">
        <v>46127.458333333336</v>
      </c>
      <c r="B418319" s="11">
        <f t="shared" si="36"/>
        <v>4</v>
      </c>
      <c r="C418319" s="11">
        <f t="shared" si="37"/>
        <v>16</v>
      </c>
      <c r="D418319" s="5" t="s">
        <v>13</v>
      </c>
      <c r="E418319" s="11" t="s">
        <v>14</v>
      </c>
      <c r="F418319" s="9" t="s">
        <v>15</v>
      </c>
      <c r="G418319" s="11">
        <v>1</v>
      </c>
      <c r="J418319" s="7">
        <v>0.91200000000000003</v>
      </c>
      <c r="K418319" s="11">
        <f t="shared" si="38"/>
        <v>2026</v>
      </c>
      <c r="L418319" s="11" t="s">
        <v>25</v>
      </c>
      <c r="M418319" s="11" t="s">
        <v>17</v>
      </c>
    </row>
    <row r="418320" spans="1:13" x14ac:dyDescent="0.25">
      <c r="A418320" s="6">
        <v>46127.458333333336</v>
      </c>
      <c r="B418320" s="11">
        <f t="shared" si="36"/>
        <v>4</v>
      </c>
      <c r="C418320" s="11">
        <f t="shared" si="37"/>
        <v>16</v>
      </c>
      <c r="D418320" s="5" t="s">
        <v>13</v>
      </c>
      <c r="E418320" s="11" t="s">
        <v>14</v>
      </c>
      <c r="F418320" s="9" t="s">
        <v>15</v>
      </c>
      <c r="G418320" s="11">
        <v>1</v>
      </c>
      <c r="J418320" s="7">
        <v>2.8839999999999999</v>
      </c>
      <c r="K418320" s="11">
        <f t="shared" si="38"/>
        <v>2026</v>
      </c>
      <c r="L418320" s="11" t="s">
        <v>25</v>
      </c>
      <c r="M418320" s="11" t="s">
        <v>17</v>
      </c>
    </row>
    <row r="418321" spans="1:13" x14ac:dyDescent="0.25">
      <c r="A418321" s="6">
        <v>46127</v>
      </c>
      <c r="B418321" s="11">
        <f t="shared" si="36"/>
        <v>4</v>
      </c>
      <c r="C418321" s="11">
        <f t="shared" si="37"/>
        <v>16</v>
      </c>
      <c r="D418321" s="5" t="s">
        <v>20</v>
      </c>
      <c r="E418321" s="11" t="s">
        <v>14</v>
      </c>
      <c r="F418321" s="9" t="s">
        <v>22</v>
      </c>
      <c r="G418321" s="11">
        <v>1</v>
      </c>
      <c r="J418321" s="7">
        <v>2.3740000000000001</v>
      </c>
      <c r="K418321" s="11">
        <f t="shared" si="38"/>
        <v>2026</v>
      </c>
      <c r="L418321" s="11" t="s">
        <v>25</v>
      </c>
      <c r="M418321" s="11" t="s">
        <v>17</v>
      </c>
    </row>
    <row r="418322" spans="1:13" x14ac:dyDescent="0.25">
      <c r="A418322" s="6">
        <v>46127.458333333336</v>
      </c>
      <c r="B418322" s="11">
        <f t="shared" si="36"/>
        <v>4</v>
      </c>
      <c r="C418322" s="11">
        <f t="shared" si="37"/>
        <v>16</v>
      </c>
      <c r="D418322" s="5" t="s">
        <v>13</v>
      </c>
      <c r="E418322" s="11" t="s">
        <v>14</v>
      </c>
      <c r="F418322" s="9" t="s">
        <v>15</v>
      </c>
      <c r="G418322" s="11">
        <v>1</v>
      </c>
      <c r="J418322" s="7">
        <v>3.4209999999999998</v>
      </c>
      <c r="K418322" s="11">
        <f t="shared" si="38"/>
        <v>2026</v>
      </c>
      <c r="L418322" s="11" t="s">
        <v>25</v>
      </c>
      <c r="M418322" s="11" t="s">
        <v>17</v>
      </c>
    </row>
    <row r="418323" spans="1:13" x14ac:dyDescent="0.25">
      <c r="A418323" s="6">
        <v>46127.458333333336</v>
      </c>
      <c r="B418323" s="11">
        <f t="shared" si="36"/>
        <v>4</v>
      </c>
      <c r="C418323" s="11">
        <f t="shared" si="37"/>
        <v>16</v>
      </c>
      <c r="D418323" s="5" t="s">
        <v>18</v>
      </c>
      <c r="E418323" s="11" t="s">
        <v>14</v>
      </c>
      <c r="F418323" s="9" t="s">
        <v>15</v>
      </c>
      <c r="G418323" s="11">
        <v>1</v>
      </c>
      <c r="J418323" s="7">
        <v>11.334</v>
      </c>
      <c r="K418323" s="11">
        <f t="shared" si="38"/>
        <v>2026</v>
      </c>
      <c r="L418323" s="11" t="s">
        <v>25</v>
      </c>
      <c r="M418323" s="11" t="s">
        <v>17</v>
      </c>
    </row>
    <row r="418324" spans="1:13" x14ac:dyDescent="0.25">
      <c r="A418324" s="6">
        <v>46124.416666666664</v>
      </c>
      <c r="B418324" s="11">
        <f t="shared" si="36"/>
        <v>4</v>
      </c>
      <c r="C418324" s="11">
        <f t="shared" si="37"/>
        <v>16</v>
      </c>
      <c r="D418324" s="5" t="s">
        <v>20</v>
      </c>
      <c r="E418324" s="11" t="s">
        <v>14</v>
      </c>
      <c r="F418324" s="9" t="s">
        <v>22</v>
      </c>
      <c r="G418324" s="11">
        <v>1</v>
      </c>
      <c r="J418324" s="7">
        <v>5.5709999999999997</v>
      </c>
      <c r="K418324" s="11">
        <f t="shared" si="38"/>
        <v>2026</v>
      </c>
      <c r="L418324" s="11" t="s">
        <v>25</v>
      </c>
      <c r="M418324" s="11" t="s">
        <v>17</v>
      </c>
    </row>
    <row r="418325" spans="1:13" x14ac:dyDescent="0.25">
      <c r="A418325" s="6">
        <v>46124</v>
      </c>
      <c r="B418325" s="11">
        <f t="shared" si="36"/>
        <v>4</v>
      </c>
      <c r="C418325" s="11">
        <f t="shared" si="37"/>
        <v>16</v>
      </c>
      <c r="D418325" s="5" t="s">
        <v>20</v>
      </c>
      <c r="E418325" s="11" t="s">
        <v>14</v>
      </c>
      <c r="F418325" s="9" t="s">
        <v>22</v>
      </c>
      <c r="G418325" s="11">
        <v>1</v>
      </c>
      <c r="J418325" s="7">
        <v>3.9580000000000002</v>
      </c>
      <c r="K418325" s="11">
        <f t="shared" si="38"/>
        <v>2026</v>
      </c>
      <c r="L418325" s="11" t="s">
        <v>25</v>
      </c>
      <c r="M418325" s="11" t="s">
        <v>17</v>
      </c>
    </row>
    <row r="418326" spans="1:13" x14ac:dyDescent="0.25">
      <c r="A418326" s="6">
        <v>46128</v>
      </c>
      <c r="B418326" s="11">
        <f t="shared" si="36"/>
        <v>4</v>
      </c>
      <c r="C418326" s="11">
        <f t="shared" si="37"/>
        <v>16</v>
      </c>
      <c r="D418326" s="5" t="s">
        <v>21</v>
      </c>
      <c r="E418326" s="11" t="s">
        <v>14</v>
      </c>
      <c r="F418326" s="9" t="s">
        <v>22</v>
      </c>
      <c r="G418326" s="11">
        <v>1</v>
      </c>
      <c r="J418326" s="7">
        <v>0.53300000000000003</v>
      </c>
      <c r="K418326" s="11">
        <f t="shared" si="38"/>
        <v>2026</v>
      </c>
      <c r="L418326" s="11" t="s">
        <v>25</v>
      </c>
      <c r="M418326" s="11" t="s">
        <v>17</v>
      </c>
    </row>
    <row r="418327" spans="1:13" x14ac:dyDescent="0.25">
      <c r="A418327" s="6">
        <v>46127.458333333336</v>
      </c>
      <c r="B418327" s="11">
        <f t="shared" si="36"/>
        <v>4</v>
      </c>
      <c r="C418327" s="11">
        <f t="shared" si="37"/>
        <v>16</v>
      </c>
      <c r="D418327" s="5" t="s">
        <v>18</v>
      </c>
      <c r="E418327" s="11" t="s">
        <v>14</v>
      </c>
      <c r="F418327" s="9" t="s">
        <v>15</v>
      </c>
      <c r="G418327" s="11">
        <v>1</v>
      </c>
      <c r="J418327" s="7">
        <v>0.91500000000000004</v>
      </c>
      <c r="K418327" s="11">
        <f t="shared" si="38"/>
        <v>2026</v>
      </c>
      <c r="L418327" s="11" t="s">
        <v>25</v>
      </c>
      <c r="M418327" s="11" t="s">
        <v>17</v>
      </c>
    </row>
    <row r="418328" spans="1:13" x14ac:dyDescent="0.25">
      <c r="A418328" s="6">
        <v>46127.458333333336</v>
      </c>
      <c r="B418328" s="11">
        <f t="shared" si="36"/>
        <v>4</v>
      </c>
      <c r="C418328" s="11">
        <f t="shared" si="37"/>
        <v>16</v>
      </c>
      <c r="D418328" s="5" t="s">
        <v>18</v>
      </c>
      <c r="E418328" s="11" t="s">
        <v>14</v>
      </c>
      <c r="F418328" s="9" t="s">
        <v>15</v>
      </c>
      <c r="G418328" s="11">
        <v>1</v>
      </c>
      <c r="J418328" s="7">
        <v>2.3039999999999998</v>
      </c>
      <c r="K418328" s="11">
        <f t="shared" si="38"/>
        <v>2026</v>
      </c>
      <c r="L418328" s="11" t="s">
        <v>25</v>
      </c>
      <c r="M418328" s="11" t="s">
        <v>17</v>
      </c>
    </row>
    <row r="418329" spans="1:13" x14ac:dyDescent="0.25">
      <c r="A418329" s="6">
        <v>46127.458333333336</v>
      </c>
      <c r="B418329" s="11">
        <f t="shared" si="36"/>
        <v>4</v>
      </c>
      <c r="C418329" s="11">
        <f t="shared" si="37"/>
        <v>16</v>
      </c>
      <c r="D418329" s="5" t="s">
        <v>13</v>
      </c>
      <c r="E418329" s="11" t="s">
        <v>14</v>
      </c>
      <c r="F418329" s="9" t="s">
        <v>15</v>
      </c>
      <c r="G418329" s="11">
        <v>1</v>
      </c>
      <c r="J418329" s="7">
        <v>3.8370000000000002</v>
      </c>
      <c r="K418329" s="11">
        <f t="shared" si="38"/>
        <v>2026</v>
      </c>
      <c r="L418329" s="11" t="s">
        <v>25</v>
      </c>
      <c r="M418329" s="11" t="s">
        <v>17</v>
      </c>
    </row>
    <row r="418330" spans="1:13" x14ac:dyDescent="0.25">
      <c r="A418330" s="6">
        <v>46126.916666666664</v>
      </c>
      <c r="B418330" s="11">
        <f t="shared" si="36"/>
        <v>4</v>
      </c>
      <c r="C418330" s="11">
        <f t="shared" si="37"/>
        <v>16</v>
      </c>
      <c r="D418330" s="5" t="s">
        <v>20</v>
      </c>
      <c r="E418330" s="11" t="s">
        <v>14</v>
      </c>
      <c r="F418330" s="9" t="s">
        <v>22</v>
      </c>
      <c r="G418330" s="11">
        <v>1</v>
      </c>
      <c r="J418330" s="7">
        <v>0.45400000000000001</v>
      </c>
      <c r="K418330" s="11">
        <f t="shared" si="38"/>
        <v>2026</v>
      </c>
      <c r="L418330" s="11" t="s">
        <v>25</v>
      </c>
      <c r="M418330" s="11" t="s">
        <v>17</v>
      </c>
    </row>
    <row r="418331" spans="1:13" x14ac:dyDescent="0.25">
      <c r="A418331" s="6">
        <v>46127.458333333336</v>
      </c>
      <c r="B418331" s="11">
        <f t="shared" si="36"/>
        <v>4</v>
      </c>
      <c r="C418331" s="11">
        <f t="shared" si="37"/>
        <v>16</v>
      </c>
      <c r="D418331" s="5" t="s">
        <v>13</v>
      </c>
      <c r="E418331" s="11" t="s">
        <v>14</v>
      </c>
      <c r="F418331" s="9" t="s">
        <v>15</v>
      </c>
      <c r="G418331" s="11">
        <v>1</v>
      </c>
      <c r="J418331" s="7">
        <v>1.92</v>
      </c>
      <c r="K418331" s="11">
        <f t="shared" si="38"/>
        <v>2026</v>
      </c>
      <c r="L418331" s="11" t="s">
        <v>25</v>
      </c>
      <c r="M418331" s="11" t="s">
        <v>17</v>
      </c>
    </row>
    <row r="418332" spans="1:13" x14ac:dyDescent="0.25">
      <c r="A418332" s="6">
        <v>46127.166666666664</v>
      </c>
      <c r="B418332" s="11">
        <f t="shared" si="36"/>
        <v>4</v>
      </c>
      <c r="C418332" s="11">
        <f t="shared" si="37"/>
        <v>16</v>
      </c>
      <c r="D418332" s="5" t="s">
        <v>13</v>
      </c>
      <c r="E418332" s="11" t="s">
        <v>14</v>
      </c>
      <c r="F418332" s="9" t="s">
        <v>15</v>
      </c>
      <c r="G418332" s="11">
        <v>1</v>
      </c>
      <c r="J418332" s="7">
        <v>1.492</v>
      </c>
      <c r="K418332" s="11">
        <f t="shared" si="38"/>
        <v>2026</v>
      </c>
      <c r="L418332" s="11" t="s">
        <v>25</v>
      </c>
      <c r="M418332" s="11" t="s">
        <v>17</v>
      </c>
    </row>
    <row r="418333" spans="1:13" x14ac:dyDescent="0.25">
      <c r="A418333" s="6">
        <v>46127.166666666664</v>
      </c>
      <c r="B418333" s="11">
        <f t="shared" ref="B418333:B418396" si="39">MONTH(A418333)</f>
        <v>4</v>
      </c>
      <c r="C418333" s="11">
        <f t="shared" ref="C418333:C418396" si="40">WEEKNUM(A418333)</f>
        <v>16</v>
      </c>
      <c r="D418333" s="5" t="s">
        <v>13</v>
      </c>
      <c r="E418333" s="11" t="s">
        <v>14</v>
      </c>
      <c r="F418333" s="9" t="s">
        <v>15</v>
      </c>
      <c r="G418333" s="11">
        <v>1</v>
      </c>
      <c r="J418333" s="7">
        <v>1.4079999999999999</v>
      </c>
      <c r="K418333" s="11">
        <f t="shared" ref="K418333:K418396" si="41">YEAR(A418333)</f>
        <v>2026</v>
      </c>
      <c r="L418333" s="11" t="s">
        <v>25</v>
      </c>
      <c r="M418333" s="11" t="s">
        <v>17</v>
      </c>
    </row>
    <row r="418334" spans="1:13" x14ac:dyDescent="0.25">
      <c r="A418334" s="6">
        <v>46127.166666666664</v>
      </c>
      <c r="B418334" s="11">
        <f t="shared" si="39"/>
        <v>4</v>
      </c>
      <c r="C418334" s="11">
        <f t="shared" si="40"/>
        <v>16</v>
      </c>
      <c r="D418334" s="5" t="s">
        <v>13</v>
      </c>
      <c r="E418334" s="11" t="s">
        <v>14</v>
      </c>
      <c r="F418334" s="9" t="s">
        <v>15</v>
      </c>
      <c r="G418334" s="11">
        <v>1</v>
      </c>
      <c r="J418334" s="7">
        <v>1.774</v>
      </c>
      <c r="K418334" s="11">
        <f t="shared" si="41"/>
        <v>2026</v>
      </c>
      <c r="L418334" s="11" t="s">
        <v>25</v>
      </c>
      <c r="M418334" s="11" t="s">
        <v>17</v>
      </c>
    </row>
    <row r="418335" spans="1:13" x14ac:dyDescent="0.25">
      <c r="A418335" s="6">
        <v>46129.675694444442</v>
      </c>
      <c r="B418335" s="11">
        <f t="shared" si="39"/>
        <v>4</v>
      </c>
      <c r="C418335" s="11">
        <f t="shared" si="40"/>
        <v>16</v>
      </c>
      <c r="D418335" s="5" t="s">
        <v>18</v>
      </c>
      <c r="E418335" s="11" t="s">
        <v>14</v>
      </c>
      <c r="F418335" s="9" t="s">
        <v>22</v>
      </c>
      <c r="G418335" s="11">
        <v>1</v>
      </c>
      <c r="J418335" s="7">
        <v>1.73</v>
      </c>
      <c r="K418335" s="11">
        <f t="shared" si="41"/>
        <v>2026</v>
      </c>
      <c r="L418335" s="11" t="s">
        <v>25</v>
      </c>
      <c r="M418335" s="11" t="s">
        <v>17</v>
      </c>
    </row>
    <row r="418336" spans="1:13" x14ac:dyDescent="0.25">
      <c r="A418336" s="6">
        <v>46126</v>
      </c>
      <c r="B418336" s="11">
        <f t="shared" si="39"/>
        <v>4</v>
      </c>
      <c r="C418336" s="11">
        <f t="shared" si="40"/>
        <v>16</v>
      </c>
      <c r="D418336" s="5" t="s">
        <v>20</v>
      </c>
      <c r="E418336" s="11" t="s">
        <v>14</v>
      </c>
      <c r="F418336" s="9" t="s">
        <v>22</v>
      </c>
      <c r="G418336" s="11">
        <v>1</v>
      </c>
      <c r="J418336" s="7">
        <v>0.88900000000000001</v>
      </c>
      <c r="K418336" s="11">
        <f t="shared" si="41"/>
        <v>2026</v>
      </c>
      <c r="L418336" s="11" t="s">
        <v>25</v>
      </c>
      <c r="M418336" s="11" t="s">
        <v>17</v>
      </c>
    </row>
    <row r="418337" spans="1:13" x14ac:dyDescent="0.25">
      <c r="A418337" s="6">
        <v>46126</v>
      </c>
      <c r="B418337" s="11">
        <f t="shared" si="39"/>
        <v>4</v>
      </c>
      <c r="C418337" s="11">
        <f t="shared" si="40"/>
        <v>16</v>
      </c>
      <c r="D418337" s="5" t="s">
        <v>20</v>
      </c>
      <c r="E418337" s="11" t="s">
        <v>14</v>
      </c>
      <c r="F418337" s="9" t="s">
        <v>22</v>
      </c>
      <c r="G418337" s="11">
        <v>1</v>
      </c>
      <c r="J418337" s="7">
        <v>2.2909999999999999</v>
      </c>
      <c r="K418337" s="11">
        <f t="shared" si="41"/>
        <v>2026</v>
      </c>
      <c r="L418337" s="11" t="s">
        <v>25</v>
      </c>
      <c r="M418337" s="11" t="s">
        <v>17</v>
      </c>
    </row>
    <row r="418338" spans="1:13" x14ac:dyDescent="0.25">
      <c r="A418338" s="6">
        <v>46127.166666666664</v>
      </c>
      <c r="B418338" s="11">
        <f t="shared" si="39"/>
        <v>4</v>
      </c>
      <c r="C418338" s="11">
        <f t="shared" si="40"/>
        <v>16</v>
      </c>
      <c r="D418338" s="5" t="s">
        <v>26</v>
      </c>
      <c r="E418338" s="11" t="s">
        <v>14</v>
      </c>
      <c r="F418338" s="9" t="s">
        <v>15</v>
      </c>
      <c r="G418338" s="11">
        <v>1</v>
      </c>
      <c r="J418338" s="7">
        <v>7.5510000000000002</v>
      </c>
      <c r="K418338" s="11">
        <f t="shared" si="41"/>
        <v>2026</v>
      </c>
      <c r="L418338" s="11" t="s">
        <v>25</v>
      </c>
      <c r="M418338" s="11" t="s">
        <v>17</v>
      </c>
    </row>
    <row r="418339" spans="1:13" x14ac:dyDescent="0.25">
      <c r="A418339" s="6">
        <v>46127.166666666664</v>
      </c>
      <c r="B418339" s="11">
        <f t="shared" si="39"/>
        <v>4</v>
      </c>
      <c r="C418339" s="11">
        <f t="shared" si="40"/>
        <v>16</v>
      </c>
      <c r="D418339" s="5" t="s">
        <v>18</v>
      </c>
      <c r="E418339" s="11" t="s">
        <v>14</v>
      </c>
      <c r="F418339" s="9" t="s">
        <v>15</v>
      </c>
      <c r="G418339" s="11">
        <v>1</v>
      </c>
      <c r="J418339" s="7">
        <v>0.57299999999999995</v>
      </c>
      <c r="K418339" s="11">
        <f t="shared" si="41"/>
        <v>2026</v>
      </c>
      <c r="L418339" s="11" t="s">
        <v>25</v>
      </c>
      <c r="M418339" s="11" t="s">
        <v>17</v>
      </c>
    </row>
    <row r="418340" spans="1:13" x14ac:dyDescent="0.25">
      <c r="A418340" s="6">
        <v>46128.5</v>
      </c>
      <c r="B418340" s="11">
        <f t="shared" si="39"/>
        <v>4</v>
      </c>
      <c r="C418340" s="11">
        <f t="shared" si="40"/>
        <v>16</v>
      </c>
      <c r="D418340" s="5" t="s">
        <v>18</v>
      </c>
      <c r="E418340" s="11" t="s">
        <v>14</v>
      </c>
      <c r="F418340" s="9" t="s">
        <v>15</v>
      </c>
      <c r="G418340" s="11">
        <v>1</v>
      </c>
      <c r="J418340" s="7">
        <v>0.98</v>
      </c>
      <c r="K418340" s="11">
        <f t="shared" si="41"/>
        <v>2026</v>
      </c>
      <c r="L418340" s="11" t="s">
        <v>25</v>
      </c>
      <c r="M418340" s="11" t="s">
        <v>17</v>
      </c>
    </row>
    <row r="418341" spans="1:13" x14ac:dyDescent="0.25">
      <c r="A418341" s="6">
        <v>46127.458333333336</v>
      </c>
      <c r="B418341" s="11">
        <f t="shared" si="39"/>
        <v>4</v>
      </c>
      <c r="C418341" s="11">
        <f t="shared" si="40"/>
        <v>16</v>
      </c>
      <c r="D418341" s="5" t="s">
        <v>18</v>
      </c>
      <c r="E418341" s="11" t="s">
        <v>14</v>
      </c>
      <c r="F418341" s="9" t="s">
        <v>15</v>
      </c>
      <c r="G418341" s="11">
        <v>1</v>
      </c>
      <c r="J418341" s="7">
        <v>1.75</v>
      </c>
      <c r="K418341" s="11">
        <f t="shared" si="41"/>
        <v>2026</v>
      </c>
      <c r="L418341" s="11" t="s">
        <v>25</v>
      </c>
      <c r="M418341" s="11" t="s">
        <v>17</v>
      </c>
    </row>
    <row r="418342" spans="1:13" x14ac:dyDescent="0.25">
      <c r="A418342" s="6">
        <v>46127</v>
      </c>
      <c r="B418342" s="11">
        <f t="shared" si="39"/>
        <v>4</v>
      </c>
      <c r="C418342" s="11">
        <f t="shared" si="40"/>
        <v>16</v>
      </c>
      <c r="D418342" s="5" t="s">
        <v>13</v>
      </c>
      <c r="E418342" s="11" t="s">
        <v>14</v>
      </c>
      <c r="F418342" s="9" t="s">
        <v>22</v>
      </c>
      <c r="G418342" s="11">
        <v>1</v>
      </c>
      <c r="J418342" s="7">
        <v>9.141</v>
      </c>
      <c r="K418342" s="11">
        <f t="shared" si="41"/>
        <v>2026</v>
      </c>
      <c r="L418342" s="11" t="s">
        <v>25</v>
      </c>
      <c r="M418342" s="11" t="s">
        <v>17</v>
      </c>
    </row>
    <row r="418343" spans="1:13" x14ac:dyDescent="0.25">
      <c r="A418343" s="6">
        <v>46128.5</v>
      </c>
      <c r="B418343" s="11">
        <f t="shared" si="39"/>
        <v>4</v>
      </c>
      <c r="C418343" s="11">
        <f t="shared" si="40"/>
        <v>16</v>
      </c>
      <c r="D418343" s="5" t="s">
        <v>13</v>
      </c>
      <c r="E418343" s="11" t="s">
        <v>14</v>
      </c>
      <c r="F418343" s="9" t="s">
        <v>15</v>
      </c>
      <c r="G418343" s="11">
        <v>1</v>
      </c>
      <c r="J418343" s="7">
        <v>5.0359999999999996</v>
      </c>
      <c r="K418343" s="11">
        <f t="shared" si="41"/>
        <v>2026</v>
      </c>
      <c r="L418343" s="11" t="s">
        <v>25</v>
      </c>
      <c r="M418343" s="11" t="s">
        <v>17</v>
      </c>
    </row>
    <row r="418344" spans="1:13" x14ac:dyDescent="0.25">
      <c r="A418344" s="6">
        <v>46126.708333333336</v>
      </c>
      <c r="B418344" s="11">
        <f t="shared" si="39"/>
        <v>4</v>
      </c>
      <c r="C418344" s="11">
        <f t="shared" si="40"/>
        <v>16</v>
      </c>
      <c r="D418344" s="5" t="s">
        <v>18</v>
      </c>
      <c r="E418344" s="11" t="s">
        <v>14</v>
      </c>
      <c r="F418344" s="9" t="s">
        <v>15</v>
      </c>
      <c r="G418344" s="11">
        <v>1</v>
      </c>
      <c r="J418344" s="7">
        <v>4.4800000000000004</v>
      </c>
      <c r="K418344" s="11">
        <f t="shared" si="41"/>
        <v>2026</v>
      </c>
      <c r="L418344" s="11" t="s">
        <v>25</v>
      </c>
      <c r="M418344" s="11" t="s">
        <v>17</v>
      </c>
    </row>
    <row r="418345" spans="1:13" x14ac:dyDescent="0.25">
      <c r="A418345" s="6">
        <v>46126.923611111109</v>
      </c>
      <c r="B418345" s="11">
        <f t="shared" si="39"/>
        <v>4</v>
      </c>
      <c r="C418345" s="11">
        <f t="shared" si="40"/>
        <v>16</v>
      </c>
      <c r="D418345" s="5" t="s">
        <v>13</v>
      </c>
      <c r="E418345" s="11" t="s">
        <v>14</v>
      </c>
      <c r="F418345" s="9" t="s">
        <v>22</v>
      </c>
      <c r="G418345" s="11">
        <v>1</v>
      </c>
      <c r="J418345" s="7">
        <v>1.657</v>
      </c>
      <c r="K418345" s="11">
        <f t="shared" si="41"/>
        <v>2026</v>
      </c>
      <c r="L418345" s="11" t="s">
        <v>25</v>
      </c>
      <c r="M418345" s="11" t="s">
        <v>17</v>
      </c>
    </row>
    <row r="418346" spans="1:13" x14ac:dyDescent="0.25">
      <c r="A418346" s="6">
        <v>46126.923611111109</v>
      </c>
      <c r="B418346" s="11">
        <f t="shared" si="39"/>
        <v>4</v>
      </c>
      <c r="C418346" s="11">
        <f t="shared" si="40"/>
        <v>16</v>
      </c>
      <c r="D418346" s="5" t="s">
        <v>13</v>
      </c>
      <c r="E418346" s="11" t="s">
        <v>14</v>
      </c>
      <c r="F418346" s="9" t="s">
        <v>22</v>
      </c>
      <c r="G418346" s="11">
        <v>1</v>
      </c>
      <c r="J418346" s="7">
        <v>9.2759999999999998</v>
      </c>
      <c r="K418346" s="11">
        <f t="shared" si="41"/>
        <v>2026</v>
      </c>
      <c r="L418346" s="11" t="s">
        <v>25</v>
      </c>
      <c r="M418346" s="11" t="s">
        <v>17</v>
      </c>
    </row>
    <row r="418347" spans="1:13" x14ac:dyDescent="0.25">
      <c r="A418347" s="6">
        <v>46127.458333333336</v>
      </c>
      <c r="B418347" s="11">
        <f t="shared" si="39"/>
        <v>4</v>
      </c>
      <c r="C418347" s="11">
        <f t="shared" si="40"/>
        <v>16</v>
      </c>
      <c r="D418347" s="5" t="s">
        <v>13</v>
      </c>
      <c r="E418347" s="11" t="s">
        <v>14</v>
      </c>
      <c r="F418347" s="9" t="s">
        <v>15</v>
      </c>
      <c r="G418347" s="11">
        <v>1</v>
      </c>
      <c r="J418347" s="7">
        <v>3.6160000000000001</v>
      </c>
      <c r="K418347" s="11">
        <f t="shared" si="41"/>
        <v>2026</v>
      </c>
      <c r="L418347" s="11" t="s">
        <v>25</v>
      </c>
      <c r="M418347" s="11" t="s">
        <v>17</v>
      </c>
    </row>
    <row r="418348" spans="1:13" x14ac:dyDescent="0.25">
      <c r="A418348" s="6">
        <v>46128.5</v>
      </c>
      <c r="B418348" s="11">
        <f t="shared" si="39"/>
        <v>4</v>
      </c>
      <c r="C418348" s="11">
        <f t="shared" si="40"/>
        <v>16</v>
      </c>
      <c r="D418348" s="5" t="s">
        <v>13</v>
      </c>
      <c r="E418348" s="11" t="s">
        <v>14</v>
      </c>
      <c r="F418348" s="9" t="s">
        <v>15</v>
      </c>
      <c r="G418348" s="11">
        <v>1</v>
      </c>
      <c r="J418348" s="7">
        <v>4.5049999999999999</v>
      </c>
      <c r="K418348" s="11">
        <f t="shared" si="41"/>
        <v>2026</v>
      </c>
      <c r="L418348" s="11" t="s">
        <v>25</v>
      </c>
      <c r="M418348" s="11" t="s">
        <v>17</v>
      </c>
    </row>
    <row r="418349" spans="1:13" x14ac:dyDescent="0.25">
      <c r="A418349" s="6">
        <v>46127</v>
      </c>
      <c r="B418349" s="11">
        <f t="shared" si="39"/>
        <v>4</v>
      </c>
      <c r="C418349" s="11">
        <f t="shared" si="40"/>
        <v>16</v>
      </c>
      <c r="D418349" s="5" t="s">
        <v>13</v>
      </c>
      <c r="E418349" s="11" t="s">
        <v>14</v>
      </c>
      <c r="F418349" s="9" t="s">
        <v>22</v>
      </c>
      <c r="G418349" s="11">
        <v>1</v>
      </c>
      <c r="J418349" s="7">
        <v>1.3740000000000001</v>
      </c>
      <c r="K418349" s="11">
        <f t="shared" si="41"/>
        <v>2026</v>
      </c>
      <c r="L418349" s="11" t="s">
        <v>25</v>
      </c>
      <c r="M418349" s="11" t="s">
        <v>17</v>
      </c>
    </row>
    <row r="418350" spans="1:13" x14ac:dyDescent="0.25">
      <c r="A418350" s="6">
        <v>46126.923611111109</v>
      </c>
      <c r="B418350" s="11">
        <f t="shared" si="39"/>
        <v>4</v>
      </c>
      <c r="C418350" s="11">
        <f t="shared" si="40"/>
        <v>16</v>
      </c>
      <c r="D418350" s="5" t="s">
        <v>13</v>
      </c>
      <c r="E418350" s="11" t="s">
        <v>14</v>
      </c>
      <c r="F418350" s="9" t="s">
        <v>22</v>
      </c>
      <c r="G418350" s="11">
        <v>1</v>
      </c>
      <c r="J418350" s="7">
        <v>0.96</v>
      </c>
      <c r="K418350" s="11">
        <f t="shared" si="41"/>
        <v>2026</v>
      </c>
      <c r="L418350" s="11" t="s">
        <v>25</v>
      </c>
      <c r="M418350" s="11" t="s">
        <v>17</v>
      </c>
    </row>
    <row r="418351" spans="1:13" x14ac:dyDescent="0.25">
      <c r="A418351" s="6">
        <v>46127.458333333336</v>
      </c>
      <c r="B418351" s="11">
        <f t="shared" si="39"/>
        <v>4</v>
      </c>
      <c r="C418351" s="11">
        <f t="shared" si="40"/>
        <v>16</v>
      </c>
      <c r="D418351" s="5" t="s">
        <v>13</v>
      </c>
      <c r="E418351" s="11" t="s">
        <v>14</v>
      </c>
      <c r="F418351" s="9" t="s">
        <v>15</v>
      </c>
      <c r="G418351" s="11">
        <v>1</v>
      </c>
      <c r="J418351" s="7">
        <v>1.9450000000000001</v>
      </c>
      <c r="K418351" s="11">
        <f t="shared" si="41"/>
        <v>2026</v>
      </c>
      <c r="L418351" s="11" t="s">
        <v>25</v>
      </c>
      <c r="M418351" s="11" t="s">
        <v>17</v>
      </c>
    </row>
    <row r="418352" spans="1:13" x14ac:dyDescent="0.25">
      <c r="A418352" s="6">
        <v>46128.5</v>
      </c>
      <c r="B418352" s="11">
        <f t="shared" si="39"/>
        <v>4</v>
      </c>
      <c r="C418352" s="11">
        <f t="shared" si="40"/>
        <v>16</v>
      </c>
      <c r="D418352" s="5" t="s">
        <v>13</v>
      </c>
      <c r="E418352" s="11" t="s">
        <v>14</v>
      </c>
      <c r="F418352" s="9" t="s">
        <v>15</v>
      </c>
      <c r="G418352" s="11">
        <v>1</v>
      </c>
      <c r="J418352" s="7">
        <v>5.2409999999999997</v>
      </c>
      <c r="K418352" s="11">
        <f t="shared" si="41"/>
        <v>2026</v>
      </c>
      <c r="L418352" s="11" t="s">
        <v>25</v>
      </c>
      <c r="M418352" s="11" t="s">
        <v>17</v>
      </c>
    </row>
    <row r="418353" spans="1:13" x14ac:dyDescent="0.25">
      <c r="A418353" s="6">
        <v>46126.923611111109</v>
      </c>
      <c r="B418353" s="11">
        <f t="shared" si="39"/>
        <v>4</v>
      </c>
      <c r="C418353" s="11">
        <f t="shared" si="40"/>
        <v>16</v>
      </c>
      <c r="D418353" s="5" t="s">
        <v>13</v>
      </c>
      <c r="E418353" s="11" t="s">
        <v>14</v>
      </c>
      <c r="F418353" s="9" t="s">
        <v>22</v>
      </c>
      <c r="G418353" s="11">
        <v>1</v>
      </c>
      <c r="J418353" s="7">
        <v>0.95</v>
      </c>
      <c r="K418353" s="11">
        <f t="shared" si="41"/>
        <v>2026</v>
      </c>
      <c r="L418353" s="11" t="s">
        <v>25</v>
      </c>
      <c r="M418353" s="11" t="s">
        <v>17</v>
      </c>
    </row>
    <row r="418354" spans="1:13" x14ac:dyDescent="0.25">
      <c r="A418354" s="6">
        <v>46126.923611111109</v>
      </c>
      <c r="B418354" s="11">
        <f t="shared" si="39"/>
        <v>4</v>
      </c>
      <c r="C418354" s="11">
        <f t="shared" si="40"/>
        <v>16</v>
      </c>
      <c r="D418354" s="5" t="s">
        <v>13</v>
      </c>
      <c r="E418354" s="11" t="s">
        <v>14</v>
      </c>
      <c r="F418354" s="9" t="s">
        <v>22</v>
      </c>
      <c r="G418354" s="11">
        <v>1</v>
      </c>
      <c r="J418354" s="7">
        <v>4.5019999999999998</v>
      </c>
      <c r="K418354" s="11">
        <f t="shared" si="41"/>
        <v>2026</v>
      </c>
      <c r="L418354" s="11" t="s">
        <v>25</v>
      </c>
      <c r="M418354" s="11" t="s">
        <v>17</v>
      </c>
    </row>
    <row r="418355" spans="1:13" x14ac:dyDescent="0.25">
      <c r="A418355" s="6">
        <v>46127.458333333336</v>
      </c>
      <c r="B418355" s="11">
        <f t="shared" si="39"/>
        <v>4</v>
      </c>
      <c r="C418355" s="11">
        <f t="shared" si="40"/>
        <v>16</v>
      </c>
      <c r="D418355" s="5" t="s">
        <v>13</v>
      </c>
      <c r="E418355" s="11" t="s">
        <v>14</v>
      </c>
      <c r="F418355" s="9" t="s">
        <v>15</v>
      </c>
      <c r="G418355" s="11">
        <v>1</v>
      </c>
      <c r="J418355" s="7">
        <v>4.726</v>
      </c>
      <c r="K418355" s="11">
        <f t="shared" si="41"/>
        <v>2026</v>
      </c>
      <c r="L418355" s="11" t="s">
        <v>25</v>
      </c>
      <c r="M418355" s="11" t="s">
        <v>17</v>
      </c>
    </row>
    <row r="418356" spans="1:13" x14ac:dyDescent="0.25">
      <c r="A418356" s="6">
        <v>46127.166666666664</v>
      </c>
      <c r="B418356" s="11">
        <f t="shared" si="39"/>
        <v>4</v>
      </c>
      <c r="C418356" s="11">
        <f t="shared" si="40"/>
        <v>16</v>
      </c>
      <c r="D418356" s="5" t="s">
        <v>18</v>
      </c>
      <c r="E418356" s="11" t="s">
        <v>14</v>
      </c>
      <c r="F418356" s="9" t="s">
        <v>15</v>
      </c>
      <c r="G418356" s="11">
        <v>1</v>
      </c>
      <c r="J418356" s="7">
        <v>1.6459999999999999</v>
      </c>
      <c r="K418356" s="11">
        <f t="shared" si="41"/>
        <v>2026</v>
      </c>
      <c r="L418356" s="11" t="s">
        <v>25</v>
      </c>
      <c r="M418356" s="11" t="s">
        <v>17</v>
      </c>
    </row>
    <row r="418357" spans="1:13" x14ac:dyDescent="0.25">
      <c r="A418357" s="6">
        <v>46127.166666666664</v>
      </c>
      <c r="B418357" s="11">
        <f t="shared" si="39"/>
        <v>4</v>
      </c>
      <c r="C418357" s="11">
        <f t="shared" si="40"/>
        <v>16</v>
      </c>
      <c r="D418357" s="5" t="s">
        <v>18</v>
      </c>
      <c r="E418357" s="11" t="s">
        <v>14</v>
      </c>
      <c r="F418357" s="9" t="s">
        <v>15</v>
      </c>
      <c r="G418357" s="11">
        <v>1</v>
      </c>
      <c r="J418357" s="7">
        <v>1.86</v>
      </c>
      <c r="K418357" s="11">
        <f t="shared" si="41"/>
        <v>2026</v>
      </c>
      <c r="L418357" s="11" t="s">
        <v>25</v>
      </c>
      <c r="M418357" s="11" t="s">
        <v>17</v>
      </c>
    </row>
    <row r="418358" spans="1:13" x14ac:dyDescent="0.25">
      <c r="A418358" s="6">
        <v>46126</v>
      </c>
      <c r="B418358" s="11">
        <f t="shared" si="39"/>
        <v>4</v>
      </c>
      <c r="C418358" s="11">
        <f t="shared" si="40"/>
        <v>16</v>
      </c>
      <c r="D418358" s="5" t="s">
        <v>18</v>
      </c>
      <c r="E418358" s="11" t="s">
        <v>14</v>
      </c>
      <c r="F418358" s="9" t="s">
        <v>22</v>
      </c>
      <c r="G418358" s="11">
        <v>1</v>
      </c>
      <c r="J418358" s="7">
        <v>0.9</v>
      </c>
      <c r="K418358" s="11">
        <f t="shared" si="41"/>
        <v>2026</v>
      </c>
      <c r="L418358" s="11" t="s">
        <v>25</v>
      </c>
      <c r="M418358" s="11" t="s">
        <v>17</v>
      </c>
    </row>
    <row r="418359" spans="1:13" x14ac:dyDescent="0.25">
      <c r="A418359" s="6">
        <v>46127.543055555558</v>
      </c>
      <c r="B418359" s="11">
        <f t="shared" si="39"/>
        <v>4</v>
      </c>
      <c r="C418359" s="11">
        <f t="shared" si="40"/>
        <v>16</v>
      </c>
      <c r="D418359" s="5" t="s">
        <v>13</v>
      </c>
      <c r="E418359" s="11" t="s">
        <v>14</v>
      </c>
      <c r="F418359" s="9" t="s">
        <v>22</v>
      </c>
      <c r="G418359" s="11">
        <v>1</v>
      </c>
      <c r="J418359" s="7">
        <v>6.9119999999999999</v>
      </c>
      <c r="K418359" s="11">
        <f t="shared" si="41"/>
        <v>2026</v>
      </c>
      <c r="L418359" s="11" t="s">
        <v>25</v>
      </c>
      <c r="M418359" s="11" t="s">
        <v>17</v>
      </c>
    </row>
    <row r="418360" spans="1:13" x14ac:dyDescent="0.25">
      <c r="A418360" s="6">
        <v>46130</v>
      </c>
      <c r="B418360" s="11">
        <f t="shared" si="39"/>
        <v>4</v>
      </c>
      <c r="C418360" s="11">
        <f t="shared" si="40"/>
        <v>16</v>
      </c>
      <c r="D418360" s="5" t="s">
        <v>13</v>
      </c>
      <c r="E418360" s="11" t="s">
        <v>14</v>
      </c>
      <c r="F418360" s="9" t="s">
        <v>22</v>
      </c>
      <c r="G418360" s="11">
        <v>1</v>
      </c>
      <c r="J418360" s="7">
        <v>0.32</v>
      </c>
      <c r="K418360" s="11">
        <f t="shared" si="41"/>
        <v>2026</v>
      </c>
      <c r="L418360" s="11" t="s">
        <v>25</v>
      </c>
      <c r="M418360" s="11" t="s">
        <v>17</v>
      </c>
    </row>
    <row r="418361" spans="1:13" x14ac:dyDescent="0.25">
      <c r="A418361" s="6">
        <v>46128.5</v>
      </c>
      <c r="B418361" s="11">
        <f t="shared" si="39"/>
        <v>4</v>
      </c>
      <c r="C418361" s="11">
        <f t="shared" si="40"/>
        <v>16</v>
      </c>
      <c r="D418361" s="5" t="s">
        <v>13</v>
      </c>
      <c r="E418361" s="11" t="s">
        <v>14</v>
      </c>
      <c r="F418361" s="9" t="s">
        <v>15</v>
      </c>
      <c r="G418361" s="11">
        <v>1</v>
      </c>
      <c r="J418361" s="7">
        <v>0.80500000000000005</v>
      </c>
      <c r="K418361" s="11">
        <f t="shared" si="41"/>
        <v>2026</v>
      </c>
      <c r="L418361" s="11" t="s">
        <v>25</v>
      </c>
      <c r="M418361" s="11" t="s">
        <v>17</v>
      </c>
    </row>
    <row r="418362" spans="1:13" x14ac:dyDescent="0.25">
      <c r="A418362" s="6">
        <v>46128.5</v>
      </c>
      <c r="B418362" s="11">
        <f t="shared" si="39"/>
        <v>4</v>
      </c>
      <c r="C418362" s="11">
        <f t="shared" si="40"/>
        <v>16</v>
      </c>
      <c r="D418362" s="5" t="s">
        <v>13</v>
      </c>
      <c r="E418362" s="11" t="s">
        <v>14</v>
      </c>
      <c r="F418362" s="9" t="s">
        <v>15</v>
      </c>
      <c r="G418362" s="11">
        <v>1</v>
      </c>
      <c r="J418362" s="7">
        <v>0.34499999999999997</v>
      </c>
      <c r="K418362" s="11">
        <f t="shared" si="41"/>
        <v>2026</v>
      </c>
      <c r="L418362" s="11" t="s">
        <v>25</v>
      </c>
      <c r="M418362" s="11" t="s">
        <v>17</v>
      </c>
    </row>
    <row r="418363" spans="1:13" x14ac:dyDescent="0.25">
      <c r="A418363" s="6">
        <v>46127.708333333336</v>
      </c>
      <c r="B418363" s="11">
        <f t="shared" si="39"/>
        <v>4</v>
      </c>
      <c r="C418363" s="11">
        <f t="shared" si="40"/>
        <v>16</v>
      </c>
      <c r="D418363" s="5" t="s">
        <v>13</v>
      </c>
      <c r="E418363" s="11" t="s">
        <v>14</v>
      </c>
      <c r="F418363" s="9" t="s">
        <v>15</v>
      </c>
      <c r="G418363" s="11">
        <v>1</v>
      </c>
      <c r="J418363" s="7">
        <v>2.7E-2</v>
      </c>
      <c r="K418363" s="11">
        <f t="shared" si="41"/>
        <v>2026</v>
      </c>
      <c r="L418363" s="11" t="s">
        <v>25</v>
      </c>
      <c r="M418363" s="11" t="s">
        <v>17</v>
      </c>
    </row>
    <row r="418364" spans="1:13" x14ac:dyDescent="0.25">
      <c r="A418364" s="6">
        <v>46127.708333333336</v>
      </c>
      <c r="B418364" s="11">
        <f t="shared" si="39"/>
        <v>4</v>
      </c>
      <c r="C418364" s="11">
        <f t="shared" si="40"/>
        <v>16</v>
      </c>
      <c r="D418364" s="5" t="s">
        <v>13</v>
      </c>
      <c r="E418364" s="11" t="s">
        <v>14</v>
      </c>
      <c r="F418364" s="9" t="s">
        <v>15</v>
      </c>
      <c r="G418364" s="11">
        <v>1</v>
      </c>
      <c r="J418364" s="7">
        <v>5.5E-2</v>
      </c>
      <c r="K418364" s="11">
        <f t="shared" si="41"/>
        <v>2026</v>
      </c>
      <c r="L418364" s="11" t="s">
        <v>25</v>
      </c>
      <c r="M418364" s="11" t="s">
        <v>17</v>
      </c>
    </row>
    <row r="418365" spans="1:13" x14ac:dyDescent="0.25">
      <c r="A418365" s="6">
        <v>46126</v>
      </c>
      <c r="B418365" s="11">
        <f t="shared" si="39"/>
        <v>4</v>
      </c>
      <c r="C418365" s="11">
        <f t="shared" si="40"/>
        <v>16</v>
      </c>
      <c r="D418365" s="5" t="s">
        <v>20</v>
      </c>
      <c r="E418365" s="11" t="s">
        <v>14</v>
      </c>
      <c r="F418365" s="9" t="s">
        <v>22</v>
      </c>
      <c r="G418365" s="11">
        <v>1</v>
      </c>
      <c r="J418365" s="7">
        <v>0.39100000000000001</v>
      </c>
      <c r="K418365" s="11">
        <f t="shared" si="41"/>
        <v>2026</v>
      </c>
      <c r="L418365" s="11" t="s">
        <v>25</v>
      </c>
      <c r="M418365" s="11" t="s">
        <v>17</v>
      </c>
    </row>
    <row r="418366" spans="1:13" x14ac:dyDescent="0.25">
      <c r="A418366" s="6">
        <v>46125</v>
      </c>
      <c r="B418366" s="11">
        <f t="shared" si="39"/>
        <v>4</v>
      </c>
      <c r="C418366" s="11">
        <f t="shared" si="40"/>
        <v>16</v>
      </c>
      <c r="D418366" s="5" t="s">
        <v>20</v>
      </c>
      <c r="E418366" s="11" t="s">
        <v>14</v>
      </c>
      <c r="F418366" s="9" t="s">
        <v>22</v>
      </c>
      <c r="G418366" s="11">
        <v>1</v>
      </c>
      <c r="J418366" s="7">
        <v>1.5840000000000001</v>
      </c>
      <c r="K418366" s="11">
        <f t="shared" si="41"/>
        <v>2026</v>
      </c>
      <c r="L418366" s="11" t="s">
        <v>25</v>
      </c>
      <c r="M418366" s="11" t="s">
        <v>17</v>
      </c>
    </row>
    <row r="418367" spans="1:13" x14ac:dyDescent="0.25">
      <c r="A418367" s="6">
        <v>46130.270833333336</v>
      </c>
      <c r="B418367" s="11">
        <f t="shared" si="39"/>
        <v>4</v>
      </c>
      <c r="C418367" s="11">
        <f t="shared" si="40"/>
        <v>16</v>
      </c>
      <c r="D418367" s="5" t="s">
        <v>18</v>
      </c>
      <c r="E418367" s="11" t="s">
        <v>14</v>
      </c>
      <c r="F418367" s="9" t="s">
        <v>22</v>
      </c>
      <c r="G418367" s="11">
        <v>1</v>
      </c>
      <c r="J418367" s="7">
        <v>2.5649999999999999</v>
      </c>
      <c r="K418367" s="11">
        <f t="shared" si="41"/>
        <v>2026</v>
      </c>
      <c r="L418367" s="11" t="s">
        <v>25</v>
      </c>
      <c r="M418367" s="11" t="s">
        <v>17</v>
      </c>
    </row>
    <row r="418368" spans="1:13" x14ac:dyDescent="0.25">
      <c r="A418368" s="6">
        <v>46130.270833333336</v>
      </c>
      <c r="B418368" s="11">
        <f t="shared" si="39"/>
        <v>4</v>
      </c>
      <c r="C418368" s="11">
        <f t="shared" si="40"/>
        <v>16</v>
      </c>
      <c r="D418368" s="5" t="s">
        <v>18</v>
      </c>
      <c r="E418368" s="11" t="s">
        <v>14</v>
      </c>
      <c r="F418368" s="9" t="s">
        <v>22</v>
      </c>
      <c r="G418368" s="11">
        <v>1</v>
      </c>
      <c r="J418368" s="7">
        <v>1.282</v>
      </c>
      <c r="K418368" s="11">
        <f t="shared" si="41"/>
        <v>2026</v>
      </c>
      <c r="L418368" s="11" t="s">
        <v>25</v>
      </c>
      <c r="M418368" s="11" t="s">
        <v>17</v>
      </c>
    </row>
    <row r="418369" spans="1:13" x14ac:dyDescent="0.25">
      <c r="A418369" s="6">
        <v>46127.458333333336</v>
      </c>
      <c r="B418369" s="11">
        <f t="shared" si="39"/>
        <v>4</v>
      </c>
      <c r="C418369" s="11">
        <f t="shared" si="40"/>
        <v>16</v>
      </c>
      <c r="D418369" s="5" t="s">
        <v>18</v>
      </c>
      <c r="E418369" s="11" t="s">
        <v>14</v>
      </c>
      <c r="F418369" s="9" t="s">
        <v>15</v>
      </c>
      <c r="G418369" s="11">
        <v>1</v>
      </c>
      <c r="J418369" s="7">
        <v>1.073</v>
      </c>
      <c r="K418369" s="11">
        <f t="shared" si="41"/>
        <v>2026</v>
      </c>
      <c r="L418369" s="11" t="s">
        <v>25</v>
      </c>
      <c r="M418369" s="11" t="s">
        <v>17</v>
      </c>
    </row>
    <row r="418370" spans="1:13" x14ac:dyDescent="0.25">
      <c r="A418370" s="6">
        <v>46127.458333333336</v>
      </c>
      <c r="B418370" s="11">
        <f t="shared" si="39"/>
        <v>4</v>
      </c>
      <c r="C418370" s="11">
        <f t="shared" si="40"/>
        <v>16</v>
      </c>
      <c r="D418370" s="5" t="s">
        <v>18</v>
      </c>
      <c r="E418370" s="11" t="s">
        <v>14</v>
      </c>
      <c r="F418370" s="9" t="s">
        <v>15</v>
      </c>
      <c r="G418370" s="11">
        <v>1</v>
      </c>
      <c r="J418370" s="7">
        <v>1.536</v>
      </c>
      <c r="K418370" s="11">
        <f t="shared" si="41"/>
        <v>2026</v>
      </c>
      <c r="L418370" s="11" t="s">
        <v>25</v>
      </c>
      <c r="M418370" s="11" t="s">
        <v>17</v>
      </c>
    </row>
    <row r="418371" spans="1:13" x14ac:dyDescent="0.25">
      <c r="A418371" s="6">
        <v>46127.458333333336</v>
      </c>
      <c r="B418371" s="11">
        <f t="shared" si="39"/>
        <v>4</v>
      </c>
      <c r="C418371" s="11">
        <f t="shared" si="40"/>
        <v>16</v>
      </c>
      <c r="D418371" s="5" t="s">
        <v>18</v>
      </c>
      <c r="E418371" s="11" t="s">
        <v>14</v>
      </c>
      <c r="F418371" s="9" t="s">
        <v>15</v>
      </c>
      <c r="G418371" s="11">
        <v>1</v>
      </c>
      <c r="J418371" s="7">
        <v>2.609</v>
      </c>
      <c r="K418371" s="11">
        <f t="shared" si="41"/>
        <v>2026</v>
      </c>
      <c r="L418371" s="11" t="s">
        <v>25</v>
      </c>
      <c r="M418371" s="11" t="s">
        <v>17</v>
      </c>
    </row>
    <row r="418372" spans="1:13" x14ac:dyDescent="0.25">
      <c r="A418372" s="6">
        <v>46127.458333333336</v>
      </c>
      <c r="B418372" s="11">
        <f t="shared" si="39"/>
        <v>4</v>
      </c>
      <c r="C418372" s="11">
        <f t="shared" si="40"/>
        <v>16</v>
      </c>
      <c r="D418372" s="5" t="s">
        <v>13</v>
      </c>
      <c r="E418372" s="11" t="s">
        <v>14</v>
      </c>
      <c r="F418372" s="9" t="s">
        <v>15</v>
      </c>
      <c r="G418372" s="11">
        <v>1</v>
      </c>
      <c r="J418372" s="7">
        <v>9.5039999999999996</v>
      </c>
      <c r="K418372" s="11">
        <f t="shared" si="41"/>
        <v>2026</v>
      </c>
      <c r="L418372" s="11" t="s">
        <v>25</v>
      </c>
      <c r="M418372" s="11" t="s">
        <v>17</v>
      </c>
    </row>
    <row r="418373" spans="1:13" x14ac:dyDescent="0.25">
      <c r="A418373" s="6">
        <v>46127.458333333336</v>
      </c>
      <c r="B418373" s="11">
        <f t="shared" si="39"/>
        <v>4</v>
      </c>
      <c r="C418373" s="11">
        <f t="shared" si="40"/>
        <v>16</v>
      </c>
      <c r="D418373" s="5" t="s">
        <v>18</v>
      </c>
      <c r="E418373" s="11" t="s">
        <v>14</v>
      </c>
      <c r="F418373" s="9" t="s">
        <v>15</v>
      </c>
      <c r="G418373" s="11">
        <v>1</v>
      </c>
      <c r="J418373" s="7">
        <v>1.89</v>
      </c>
      <c r="K418373" s="11">
        <f t="shared" si="41"/>
        <v>2026</v>
      </c>
      <c r="L418373" s="11" t="s">
        <v>25</v>
      </c>
      <c r="M418373" s="11" t="s">
        <v>17</v>
      </c>
    </row>
    <row r="418374" spans="1:13" x14ac:dyDescent="0.25">
      <c r="A418374" s="6">
        <v>46127.458333333336</v>
      </c>
      <c r="B418374" s="11">
        <f t="shared" si="39"/>
        <v>4</v>
      </c>
      <c r="C418374" s="11">
        <f t="shared" si="40"/>
        <v>16</v>
      </c>
      <c r="D418374" s="5" t="s">
        <v>13</v>
      </c>
      <c r="E418374" s="11" t="s">
        <v>14</v>
      </c>
      <c r="F418374" s="9" t="s">
        <v>15</v>
      </c>
      <c r="G418374" s="11">
        <v>1</v>
      </c>
      <c r="J418374" s="7">
        <v>11.679</v>
      </c>
      <c r="K418374" s="11">
        <f t="shared" si="41"/>
        <v>2026</v>
      </c>
      <c r="L418374" s="11" t="s">
        <v>25</v>
      </c>
      <c r="M418374" s="11" t="s">
        <v>17</v>
      </c>
    </row>
    <row r="418375" spans="1:13" x14ac:dyDescent="0.25">
      <c r="A418375" s="6">
        <v>46128.5</v>
      </c>
      <c r="B418375" s="11">
        <f t="shared" si="39"/>
        <v>4</v>
      </c>
      <c r="C418375" s="11">
        <f t="shared" si="40"/>
        <v>16</v>
      </c>
      <c r="D418375" s="5" t="s">
        <v>13</v>
      </c>
      <c r="E418375" s="11" t="s">
        <v>14</v>
      </c>
      <c r="F418375" s="9" t="s">
        <v>15</v>
      </c>
      <c r="G418375" s="11">
        <v>1</v>
      </c>
      <c r="J418375" s="7">
        <v>7.42</v>
      </c>
      <c r="K418375" s="11">
        <f t="shared" si="41"/>
        <v>2026</v>
      </c>
      <c r="L418375" s="11" t="s">
        <v>25</v>
      </c>
      <c r="M418375" s="11" t="s">
        <v>17</v>
      </c>
    </row>
    <row r="418376" spans="1:13" x14ac:dyDescent="0.25">
      <c r="A418376" s="6">
        <v>46128.5</v>
      </c>
      <c r="B418376" s="11">
        <f t="shared" si="39"/>
        <v>4</v>
      </c>
      <c r="C418376" s="11">
        <f t="shared" si="40"/>
        <v>16</v>
      </c>
      <c r="D418376" s="5" t="s">
        <v>13</v>
      </c>
      <c r="E418376" s="11" t="s">
        <v>14</v>
      </c>
      <c r="F418376" s="9" t="s">
        <v>15</v>
      </c>
      <c r="G418376" s="11">
        <v>1</v>
      </c>
      <c r="J418376" s="7">
        <v>5.774</v>
      </c>
      <c r="K418376" s="11">
        <f t="shared" si="41"/>
        <v>2026</v>
      </c>
      <c r="L418376" s="11" t="s">
        <v>25</v>
      </c>
      <c r="M418376" s="11" t="s">
        <v>17</v>
      </c>
    </row>
    <row r="418377" spans="1:13" x14ac:dyDescent="0.25">
      <c r="A418377" s="6">
        <v>46125</v>
      </c>
      <c r="B418377" s="11">
        <f t="shared" si="39"/>
        <v>4</v>
      </c>
      <c r="C418377" s="11">
        <f t="shared" si="40"/>
        <v>16</v>
      </c>
      <c r="D418377" s="5" t="s">
        <v>18</v>
      </c>
      <c r="E418377" s="11" t="s">
        <v>14</v>
      </c>
      <c r="F418377" s="9" t="s">
        <v>22</v>
      </c>
      <c r="G418377" s="11">
        <v>1</v>
      </c>
      <c r="J418377" s="7">
        <v>3</v>
      </c>
      <c r="K418377" s="11">
        <f t="shared" si="41"/>
        <v>2026</v>
      </c>
      <c r="L418377" s="11" t="s">
        <v>25</v>
      </c>
      <c r="M418377" s="11" t="s">
        <v>17</v>
      </c>
    </row>
    <row r="418378" spans="1:13" x14ac:dyDescent="0.25">
      <c r="A418378" s="6">
        <v>46126.708333333336</v>
      </c>
      <c r="B418378" s="11">
        <f t="shared" si="39"/>
        <v>4</v>
      </c>
      <c r="C418378" s="11">
        <f t="shared" si="40"/>
        <v>16</v>
      </c>
      <c r="D418378" s="5" t="s">
        <v>13</v>
      </c>
      <c r="E418378" s="11" t="s">
        <v>14</v>
      </c>
      <c r="F418378" s="9" t="s">
        <v>15</v>
      </c>
      <c r="G418378" s="11">
        <v>1</v>
      </c>
      <c r="J418378" s="7">
        <v>1.75</v>
      </c>
      <c r="K418378" s="11">
        <f t="shared" si="41"/>
        <v>2026</v>
      </c>
      <c r="L418378" s="11" t="s">
        <v>25</v>
      </c>
      <c r="M418378" s="11" t="s">
        <v>17</v>
      </c>
    </row>
    <row r="418379" spans="1:13" x14ac:dyDescent="0.25">
      <c r="A418379" s="6">
        <v>46126.708333333336</v>
      </c>
      <c r="B418379" s="11">
        <f t="shared" si="39"/>
        <v>4</v>
      </c>
      <c r="C418379" s="11">
        <f t="shared" si="40"/>
        <v>16</v>
      </c>
      <c r="D418379" s="5" t="s">
        <v>13</v>
      </c>
      <c r="E418379" s="11" t="s">
        <v>14</v>
      </c>
      <c r="F418379" s="9" t="s">
        <v>15</v>
      </c>
      <c r="G418379" s="11">
        <v>1</v>
      </c>
      <c r="J418379" s="7">
        <v>1.52</v>
      </c>
      <c r="K418379" s="11">
        <f t="shared" si="41"/>
        <v>2026</v>
      </c>
      <c r="L418379" s="11" t="s">
        <v>25</v>
      </c>
      <c r="M418379" s="11" t="s">
        <v>17</v>
      </c>
    </row>
    <row r="418380" spans="1:13" x14ac:dyDescent="0.25">
      <c r="A418380" s="6">
        <v>46126.708333333336</v>
      </c>
      <c r="B418380" s="11">
        <f t="shared" si="39"/>
        <v>4</v>
      </c>
      <c r="C418380" s="11">
        <f t="shared" si="40"/>
        <v>16</v>
      </c>
      <c r="D418380" s="5" t="s">
        <v>13</v>
      </c>
      <c r="E418380" s="11" t="s">
        <v>14</v>
      </c>
      <c r="F418380" s="9" t="s">
        <v>15</v>
      </c>
      <c r="G418380" s="11">
        <v>1</v>
      </c>
      <c r="J418380" s="7">
        <v>4.28</v>
      </c>
      <c r="K418380" s="11">
        <f t="shared" si="41"/>
        <v>2026</v>
      </c>
      <c r="L418380" s="11" t="s">
        <v>25</v>
      </c>
      <c r="M418380" s="11" t="s">
        <v>17</v>
      </c>
    </row>
    <row r="418381" spans="1:13" x14ac:dyDescent="0.25">
      <c r="A418381" s="6">
        <v>46126.708333333336</v>
      </c>
      <c r="B418381" s="11">
        <f t="shared" si="39"/>
        <v>4</v>
      </c>
      <c r="C418381" s="11">
        <f t="shared" si="40"/>
        <v>16</v>
      </c>
      <c r="D418381" s="5" t="s">
        <v>13</v>
      </c>
      <c r="E418381" s="11" t="s">
        <v>14</v>
      </c>
      <c r="F418381" s="9" t="s">
        <v>15</v>
      </c>
      <c r="G418381" s="11">
        <v>1</v>
      </c>
      <c r="J418381" s="7">
        <v>2.02</v>
      </c>
      <c r="K418381" s="11">
        <f t="shared" si="41"/>
        <v>2026</v>
      </c>
      <c r="L418381" s="11" t="s">
        <v>25</v>
      </c>
      <c r="M418381" s="11" t="s">
        <v>17</v>
      </c>
    </row>
    <row r="418382" spans="1:13" x14ac:dyDescent="0.25">
      <c r="A418382" s="6">
        <v>46126.708333333336</v>
      </c>
      <c r="B418382" s="11">
        <f t="shared" si="39"/>
        <v>4</v>
      </c>
      <c r="C418382" s="11">
        <f t="shared" si="40"/>
        <v>16</v>
      </c>
      <c r="D418382" s="5" t="s">
        <v>13</v>
      </c>
      <c r="E418382" s="11" t="s">
        <v>14</v>
      </c>
      <c r="F418382" s="9" t="s">
        <v>15</v>
      </c>
      <c r="G418382" s="11">
        <v>1</v>
      </c>
      <c r="J418382" s="7">
        <v>1.86</v>
      </c>
      <c r="K418382" s="11">
        <f t="shared" si="41"/>
        <v>2026</v>
      </c>
      <c r="L418382" s="11" t="s">
        <v>25</v>
      </c>
      <c r="M418382" s="11" t="s">
        <v>17</v>
      </c>
    </row>
    <row r="418383" spans="1:13" x14ac:dyDescent="0.25">
      <c r="A418383" s="6">
        <v>46126.708333333336</v>
      </c>
      <c r="B418383" s="11">
        <f t="shared" si="39"/>
        <v>4</v>
      </c>
      <c r="C418383" s="11">
        <f t="shared" si="40"/>
        <v>16</v>
      </c>
      <c r="D418383" s="5" t="s">
        <v>13</v>
      </c>
      <c r="E418383" s="11" t="s">
        <v>14</v>
      </c>
      <c r="F418383" s="9" t="s">
        <v>15</v>
      </c>
      <c r="G418383" s="11">
        <v>1</v>
      </c>
      <c r="J418383" s="7">
        <v>1.5</v>
      </c>
      <c r="K418383" s="11">
        <f t="shared" si="41"/>
        <v>2026</v>
      </c>
      <c r="L418383" s="11" t="s">
        <v>25</v>
      </c>
      <c r="M418383" s="11" t="s">
        <v>17</v>
      </c>
    </row>
    <row r="418384" spans="1:13" x14ac:dyDescent="0.25">
      <c r="A418384" s="6">
        <v>46126.708333333336</v>
      </c>
      <c r="B418384" s="11">
        <f t="shared" si="39"/>
        <v>4</v>
      </c>
      <c r="C418384" s="11">
        <f t="shared" si="40"/>
        <v>16</v>
      </c>
      <c r="D418384" s="5" t="s">
        <v>13</v>
      </c>
      <c r="E418384" s="11" t="s">
        <v>14</v>
      </c>
      <c r="F418384" s="9" t="s">
        <v>15</v>
      </c>
      <c r="G418384" s="11">
        <v>1</v>
      </c>
      <c r="J418384" s="7">
        <v>9.1</v>
      </c>
      <c r="K418384" s="11">
        <f t="shared" si="41"/>
        <v>2026</v>
      </c>
      <c r="L418384" s="11" t="s">
        <v>25</v>
      </c>
      <c r="M418384" s="11" t="s">
        <v>17</v>
      </c>
    </row>
    <row r="418385" spans="1:13" x14ac:dyDescent="0.25">
      <c r="A418385" s="6">
        <v>46126.708333333336</v>
      </c>
      <c r="B418385" s="11">
        <f t="shared" si="39"/>
        <v>4</v>
      </c>
      <c r="C418385" s="11">
        <f t="shared" si="40"/>
        <v>16</v>
      </c>
      <c r="D418385" s="5" t="s">
        <v>13</v>
      </c>
      <c r="E418385" s="11" t="s">
        <v>14</v>
      </c>
      <c r="F418385" s="9" t="s">
        <v>15</v>
      </c>
      <c r="G418385" s="11">
        <v>1</v>
      </c>
      <c r="J418385" s="7">
        <v>0.11</v>
      </c>
      <c r="K418385" s="11">
        <f t="shared" si="41"/>
        <v>2026</v>
      </c>
      <c r="L418385" s="11" t="s">
        <v>25</v>
      </c>
      <c r="M418385" s="11" t="s">
        <v>17</v>
      </c>
    </row>
    <row r="418386" spans="1:13" x14ac:dyDescent="0.25">
      <c r="A418386" s="6">
        <v>46127.458333333336</v>
      </c>
      <c r="B418386" s="11">
        <f t="shared" si="39"/>
        <v>4</v>
      </c>
      <c r="C418386" s="11">
        <f t="shared" si="40"/>
        <v>16</v>
      </c>
      <c r="D418386" s="5" t="s">
        <v>18</v>
      </c>
      <c r="E418386" s="11" t="s">
        <v>14</v>
      </c>
      <c r="F418386" s="9" t="s">
        <v>15</v>
      </c>
      <c r="G418386" s="11">
        <v>1</v>
      </c>
      <c r="J418386" s="7">
        <v>2.1720000000000002</v>
      </c>
      <c r="K418386" s="11">
        <f t="shared" si="41"/>
        <v>2026</v>
      </c>
      <c r="L418386" s="11" t="s">
        <v>25</v>
      </c>
      <c r="M418386" s="11" t="s">
        <v>17</v>
      </c>
    </row>
    <row r="418387" spans="1:13" x14ac:dyDescent="0.25">
      <c r="A418387" s="6">
        <v>46127.458333333336</v>
      </c>
      <c r="B418387" s="11">
        <f t="shared" si="39"/>
        <v>4</v>
      </c>
      <c r="C418387" s="11">
        <f t="shared" si="40"/>
        <v>16</v>
      </c>
      <c r="D418387" s="5" t="s">
        <v>18</v>
      </c>
      <c r="E418387" s="11" t="s">
        <v>14</v>
      </c>
      <c r="F418387" s="9" t="s">
        <v>15</v>
      </c>
      <c r="G418387" s="11">
        <v>1</v>
      </c>
      <c r="J418387" s="7">
        <v>0.35399999999999998</v>
      </c>
      <c r="K418387" s="11">
        <f t="shared" si="41"/>
        <v>2026</v>
      </c>
      <c r="L418387" s="11" t="s">
        <v>25</v>
      </c>
      <c r="M418387" s="11" t="s">
        <v>17</v>
      </c>
    </row>
    <row r="418388" spans="1:13" x14ac:dyDescent="0.25">
      <c r="A418388" s="6">
        <v>46127.458333333336</v>
      </c>
      <c r="B418388" s="11">
        <f t="shared" si="39"/>
        <v>4</v>
      </c>
      <c r="C418388" s="11">
        <f t="shared" si="40"/>
        <v>16</v>
      </c>
      <c r="D418388" s="5" t="s">
        <v>18</v>
      </c>
      <c r="E418388" s="11" t="s">
        <v>14</v>
      </c>
      <c r="F418388" s="9" t="s">
        <v>15</v>
      </c>
      <c r="G418388" s="11">
        <v>1</v>
      </c>
      <c r="J418388" s="7">
        <v>0.71199999999999997</v>
      </c>
      <c r="K418388" s="11">
        <f t="shared" si="41"/>
        <v>2026</v>
      </c>
      <c r="L418388" s="11" t="s">
        <v>25</v>
      </c>
      <c r="M418388" s="11" t="s">
        <v>17</v>
      </c>
    </row>
    <row r="418389" spans="1:13" x14ac:dyDescent="0.25">
      <c r="A418389" s="6">
        <v>46127.458333333336</v>
      </c>
      <c r="B418389" s="11">
        <f t="shared" si="39"/>
        <v>4</v>
      </c>
      <c r="C418389" s="11">
        <f t="shared" si="40"/>
        <v>16</v>
      </c>
      <c r="D418389" s="5" t="s">
        <v>18</v>
      </c>
      <c r="E418389" s="11" t="s">
        <v>14</v>
      </c>
      <c r="F418389" s="9" t="s">
        <v>15</v>
      </c>
      <c r="G418389" s="11">
        <v>1</v>
      </c>
      <c r="J418389" s="7">
        <v>3.238</v>
      </c>
      <c r="K418389" s="11">
        <f t="shared" si="41"/>
        <v>2026</v>
      </c>
      <c r="L418389" s="11" t="s">
        <v>25</v>
      </c>
      <c r="M418389" s="11" t="s">
        <v>17</v>
      </c>
    </row>
    <row r="418390" spans="1:13" x14ac:dyDescent="0.25">
      <c r="A418390" s="6">
        <v>46126.166666666664</v>
      </c>
      <c r="B418390" s="11">
        <f t="shared" si="39"/>
        <v>4</v>
      </c>
      <c r="C418390" s="11">
        <f t="shared" si="40"/>
        <v>16</v>
      </c>
      <c r="D418390" s="5" t="s">
        <v>13</v>
      </c>
      <c r="E418390" s="11" t="s">
        <v>14</v>
      </c>
      <c r="F418390" s="9" t="s">
        <v>22</v>
      </c>
      <c r="G418390" s="11">
        <v>1</v>
      </c>
      <c r="J418390" s="7">
        <v>1.4790000000000001</v>
      </c>
      <c r="K418390" s="11">
        <f t="shared" si="41"/>
        <v>2026</v>
      </c>
      <c r="L418390" s="11" t="s">
        <v>25</v>
      </c>
      <c r="M418390" s="11" t="s">
        <v>17</v>
      </c>
    </row>
    <row r="418391" spans="1:13" x14ac:dyDescent="0.25">
      <c r="A418391" s="6">
        <v>46126.166666666664</v>
      </c>
      <c r="B418391" s="11">
        <f t="shared" si="39"/>
        <v>4</v>
      </c>
      <c r="C418391" s="11">
        <f t="shared" si="40"/>
        <v>16</v>
      </c>
      <c r="D418391" s="5" t="s">
        <v>13</v>
      </c>
      <c r="E418391" s="11" t="s">
        <v>14</v>
      </c>
      <c r="F418391" s="9" t="s">
        <v>22</v>
      </c>
      <c r="G418391" s="11">
        <v>1</v>
      </c>
      <c r="J418391" s="7">
        <v>1.59</v>
      </c>
      <c r="K418391" s="11">
        <f t="shared" si="41"/>
        <v>2026</v>
      </c>
      <c r="L418391" s="11" t="s">
        <v>25</v>
      </c>
      <c r="M418391" s="11" t="s">
        <v>17</v>
      </c>
    </row>
    <row r="418392" spans="1:13" x14ac:dyDescent="0.25">
      <c r="A418392" s="6">
        <v>46126.916666666664</v>
      </c>
      <c r="B418392" s="11">
        <f t="shared" si="39"/>
        <v>4</v>
      </c>
      <c r="C418392" s="11">
        <f t="shared" si="40"/>
        <v>16</v>
      </c>
      <c r="D418392" s="5" t="s">
        <v>13</v>
      </c>
      <c r="E418392" s="11" t="s">
        <v>14</v>
      </c>
      <c r="F418392" s="9" t="s">
        <v>15</v>
      </c>
      <c r="G418392" s="11">
        <v>1</v>
      </c>
      <c r="J418392" s="7">
        <v>0.61799999999999999</v>
      </c>
      <c r="K418392" s="11">
        <f t="shared" si="41"/>
        <v>2026</v>
      </c>
      <c r="L418392" s="11" t="s">
        <v>25</v>
      </c>
      <c r="M418392" s="11" t="s">
        <v>17</v>
      </c>
    </row>
    <row r="418393" spans="1:13" x14ac:dyDescent="0.25">
      <c r="A418393" s="6">
        <v>46126.166666666664</v>
      </c>
      <c r="B418393" s="11">
        <f t="shared" si="39"/>
        <v>4</v>
      </c>
      <c r="C418393" s="11">
        <f t="shared" si="40"/>
        <v>16</v>
      </c>
      <c r="D418393" s="5" t="s">
        <v>13</v>
      </c>
      <c r="E418393" s="11" t="s">
        <v>14</v>
      </c>
      <c r="F418393" s="9" t="s">
        <v>22</v>
      </c>
      <c r="G418393" s="11">
        <v>1</v>
      </c>
      <c r="J418393" s="7">
        <v>1.29</v>
      </c>
      <c r="K418393" s="11">
        <f t="shared" si="41"/>
        <v>2026</v>
      </c>
      <c r="L418393" s="11" t="s">
        <v>25</v>
      </c>
      <c r="M418393" s="11" t="s">
        <v>17</v>
      </c>
    </row>
    <row r="418394" spans="1:13" x14ac:dyDescent="0.25">
      <c r="A418394" s="6">
        <v>46127.166666666664</v>
      </c>
      <c r="B418394" s="11">
        <f t="shared" si="39"/>
        <v>4</v>
      </c>
      <c r="C418394" s="11">
        <f t="shared" si="40"/>
        <v>16</v>
      </c>
      <c r="D418394" s="5" t="s">
        <v>13</v>
      </c>
      <c r="E418394" s="11" t="s">
        <v>14</v>
      </c>
      <c r="F418394" s="9" t="s">
        <v>15</v>
      </c>
      <c r="G418394" s="11">
        <v>1</v>
      </c>
      <c r="J418394" s="7">
        <v>4.4370000000000003</v>
      </c>
      <c r="K418394" s="11">
        <f t="shared" si="41"/>
        <v>2026</v>
      </c>
      <c r="L418394" s="11" t="s">
        <v>25</v>
      </c>
      <c r="M418394" s="11" t="s">
        <v>17</v>
      </c>
    </row>
    <row r="418395" spans="1:13" x14ac:dyDescent="0.25">
      <c r="A418395" s="6">
        <v>46126</v>
      </c>
      <c r="B418395" s="11">
        <f t="shared" si="39"/>
        <v>4</v>
      </c>
      <c r="C418395" s="11">
        <f t="shared" si="40"/>
        <v>16</v>
      </c>
      <c r="D418395" s="5" t="s">
        <v>13</v>
      </c>
      <c r="E418395" s="11" t="s">
        <v>14</v>
      </c>
      <c r="F418395" s="9" t="s">
        <v>22</v>
      </c>
      <c r="G418395" s="11">
        <v>1</v>
      </c>
      <c r="J418395" s="7">
        <v>0.56000000000000005</v>
      </c>
      <c r="K418395" s="11">
        <f t="shared" si="41"/>
        <v>2026</v>
      </c>
      <c r="L418395" s="11" t="s">
        <v>25</v>
      </c>
      <c r="M418395" s="11" t="s">
        <v>17</v>
      </c>
    </row>
    <row r="418396" spans="1:13" x14ac:dyDescent="0.25">
      <c r="A418396" s="6">
        <v>46127.166666666664</v>
      </c>
      <c r="B418396" s="11">
        <f t="shared" si="39"/>
        <v>4</v>
      </c>
      <c r="C418396" s="11">
        <f t="shared" si="40"/>
        <v>16</v>
      </c>
      <c r="D418396" s="5" t="s">
        <v>13</v>
      </c>
      <c r="E418396" s="11" t="s">
        <v>14</v>
      </c>
      <c r="F418396" s="9" t="s">
        <v>15</v>
      </c>
      <c r="G418396" s="11">
        <v>1</v>
      </c>
      <c r="J418396" s="7">
        <v>2.8220000000000001</v>
      </c>
      <c r="K418396" s="11">
        <f t="shared" si="41"/>
        <v>2026</v>
      </c>
      <c r="L418396" s="11" t="s">
        <v>25</v>
      </c>
      <c r="M418396" s="11" t="s">
        <v>17</v>
      </c>
    </row>
    <row r="418397" spans="1:13" x14ac:dyDescent="0.25">
      <c r="A418397" s="6">
        <v>46126.166666666664</v>
      </c>
      <c r="B418397" s="11">
        <f t="shared" ref="B418397:B418460" si="42">MONTH(A418397)</f>
        <v>4</v>
      </c>
      <c r="C418397" s="11">
        <f t="shared" ref="C418397:C418460" si="43">WEEKNUM(A418397)</f>
        <v>16</v>
      </c>
      <c r="D418397" s="5" t="s">
        <v>13</v>
      </c>
      <c r="E418397" s="11" t="s">
        <v>14</v>
      </c>
      <c r="F418397" s="9" t="s">
        <v>22</v>
      </c>
      <c r="G418397" s="11">
        <v>1</v>
      </c>
      <c r="J418397" s="7">
        <v>4.7249999999999996</v>
      </c>
      <c r="K418397" s="11">
        <f t="shared" ref="K418397:K418460" si="44">YEAR(A418397)</f>
        <v>2026</v>
      </c>
      <c r="L418397" s="11" t="s">
        <v>25</v>
      </c>
      <c r="M418397" s="11" t="s">
        <v>17</v>
      </c>
    </row>
    <row r="418398" spans="1:13" x14ac:dyDescent="0.25">
      <c r="A418398" s="6">
        <v>46127.166666666664</v>
      </c>
      <c r="B418398" s="11">
        <f t="shared" si="42"/>
        <v>4</v>
      </c>
      <c r="C418398" s="11">
        <f t="shared" si="43"/>
        <v>16</v>
      </c>
      <c r="D418398" s="5" t="s">
        <v>13</v>
      </c>
      <c r="E418398" s="11" t="s">
        <v>14</v>
      </c>
      <c r="F418398" s="9" t="s">
        <v>15</v>
      </c>
      <c r="G418398" s="11">
        <v>1</v>
      </c>
      <c r="J418398" s="7">
        <v>1.905</v>
      </c>
      <c r="K418398" s="11">
        <f t="shared" si="44"/>
        <v>2026</v>
      </c>
      <c r="L418398" s="11" t="s">
        <v>25</v>
      </c>
      <c r="M418398" s="11" t="s">
        <v>17</v>
      </c>
    </row>
    <row r="418399" spans="1:13" x14ac:dyDescent="0.25">
      <c r="A418399" s="6">
        <v>46127.208333333336</v>
      </c>
      <c r="B418399" s="11">
        <f t="shared" si="42"/>
        <v>4</v>
      </c>
      <c r="C418399" s="11">
        <f t="shared" si="43"/>
        <v>16</v>
      </c>
      <c r="D418399" s="5" t="s">
        <v>13</v>
      </c>
      <c r="E418399" s="11" t="s">
        <v>14</v>
      </c>
      <c r="F418399" s="9" t="s">
        <v>22</v>
      </c>
      <c r="G418399" s="11">
        <v>1</v>
      </c>
      <c r="J418399" s="7">
        <v>4.2779999999999996</v>
      </c>
      <c r="K418399" s="11">
        <f t="shared" si="44"/>
        <v>2026</v>
      </c>
      <c r="L418399" s="11" t="s">
        <v>25</v>
      </c>
      <c r="M418399" s="11" t="s">
        <v>17</v>
      </c>
    </row>
    <row r="418400" spans="1:13" x14ac:dyDescent="0.25">
      <c r="A418400" s="6">
        <v>46128.5</v>
      </c>
      <c r="B418400" s="11">
        <f t="shared" si="42"/>
        <v>4</v>
      </c>
      <c r="C418400" s="11">
        <f t="shared" si="43"/>
        <v>16</v>
      </c>
      <c r="D418400" s="5" t="s">
        <v>13</v>
      </c>
      <c r="E418400" s="11" t="s">
        <v>14</v>
      </c>
      <c r="F418400" s="9" t="s">
        <v>15</v>
      </c>
      <c r="G418400" s="11">
        <v>1</v>
      </c>
      <c r="J418400" s="7">
        <v>1.2</v>
      </c>
      <c r="K418400" s="11">
        <f t="shared" si="44"/>
        <v>2026</v>
      </c>
      <c r="L418400" s="11" t="s">
        <v>25</v>
      </c>
      <c r="M418400" s="11" t="s">
        <v>17</v>
      </c>
    </row>
    <row r="418401" spans="1:13" x14ac:dyDescent="0.25">
      <c r="A418401" s="6">
        <v>46128.5</v>
      </c>
      <c r="B418401" s="11">
        <f t="shared" si="42"/>
        <v>4</v>
      </c>
      <c r="C418401" s="11">
        <f t="shared" si="43"/>
        <v>16</v>
      </c>
      <c r="D418401" s="5" t="s">
        <v>13</v>
      </c>
      <c r="E418401" s="11" t="s">
        <v>14</v>
      </c>
      <c r="F418401" s="9" t="s">
        <v>15</v>
      </c>
      <c r="G418401" s="11">
        <v>1</v>
      </c>
      <c r="J418401" s="7">
        <v>8.2080000000000002</v>
      </c>
      <c r="K418401" s="11">
        <f t="shared" si="44"/>
        <v>2026</v>
      </c>
      <c r="L418401" s="11" t="s">
        <v>25</v>
      </c>
      <c r="M418401" s="11" t="s">
        <v>17</v>
      </c>
    </row>
    <row r="418402" spans="1:13" x14ac:dyDescent="0.25">
      <c r="A418402" s="6">
        <v>46126.458333333336</v>
      </c>
      <c r="B418402" s="11">
        <f t="shared" si="42"/>
        <v>4</v>
      </c>
      <c r="C418402" s="11">
        <f t="shared" si="43"/>
        <v>16</v>
      </c>
      <c r="D418402" s="5" t="s">
        <v>13</v>
      </c>
      <c r="E418402" s="11" t="s">
        <v>14</v>
      </c>
      <c r="F418402" s="9" t="s">
        <v>15</v>
      </c>
      <c r="G418402" s="11">
        <v>1</v>
      </c>
      <c r="J418402" s="7">
        <v>24.527999999999999</v>
      </c>
      <c r="K418402" s="11">
        <f t="shared" si="44"/>
        <v>2026</v>
      </c>
      <c r="L418402" s="11" t="s">
        <v>25</v>
      </c>
      <c r="M418402" s="11" t="s">
        <v>17</v>
      </c>
    </row>
    <row r="418403" spans="1:13" x14ac:dyDescent="0.25">
      <c r="A418403" s="6">
        <v>46126.458333333336</v>
      </c>
      <c r="B418403" s="11">
        <f t="shared" si="42"/>
        <v>4</v>
      </c>
      <c r="C418403" s="11">
        <f t="shared" si="43"/>
        <v>16</v>
      </c>
      <c r="D418403" s="5" t="s">
        <v>13</v>
      </c>
      <c r="E418403" s="11" t="s">
        <v>14</v>
      </c>
      <c r="F418403" s="9" t="s">
        <v>15</v>
      </c>
      <c r="G418403" s="11">
        <v>1</v>
      </c>
      <c r="J418403" s="7">
        <v>0.624</v>
      </c>
      <c r="K418403" s="11">
        <f t="shared" si="44"/>
        <v>2026</v>
      </c>
      <c r="L418403" s="11" t="s">
        <v>25</v>
      </c>
      <c r="M418403" s="11" t="s">
        <v>17</v>
      </c>
    </row>
    <row r="418404" spans="1:13" x14ac:dyDescent="0.25">
      <c r="A418404" s="6">
        <v>46126.458333333336</v>
      </c>
      <c r="B418404" s="11">
        <f t="shared" si="42"/>
        <v>4</v>
      </c>
      <c r="C418404" s="11">
        <f t="shared" si="43"/>
        <v>16</v>
      </c>
      <c r="D418404" s="5" t="s">
        <v>13</v>
      </c>
      <c r="E418404" s="11" t="s">
        <v>14</v>
      </c>
      <c r="F418404" s="9" t="s">
        <v>15</v>
      </c>
      <c r="G418404" s="11">
        <v>1</v>
      </c>
      <c r="J418404" s="7">
        <v>0.24</v>
      </c>
      <c r="K418404" s="11">
        <f t="shared" si="44"/>
        <v>2026</v>
      </c>
      <c r="L418404" s="11" t="s">
        <v>25</v>
      </c>
      <c r="M418404" s="11" t="s">
        <v>17</v>
      </c>
    </row>
    <row r="418405" spans="1:13" x14ac:dyDescent="0.25">
      <c r="A418405" s="6">
        <v>46126.458333333336</v>
      </c>
      <c r="B418405" s="11">
        <f t="shared" si="42"/>
        <v>4</v>
      </c>
      <c r="C418405" s="11">
        <f t="shared" si="43"/>
        <v>16</v>
      </c>
      <c r="D418405" s="5" t="s">
        <v>13</v>
      </c>
      <c r="E418405" s="11" t="s">
        <v>14</v>
      </c>
      <c r="F418405" s="9" t="s">
        <v>15</v>
      </c>
      <c r="G418405" s="11">
        <v>1</v>
      </c>
      <c r="J418405" s="7">
        <v>8.2799999999999994</v>
      </c>
      <c r="K418405" s="11">
        <f t="shared" si="44"/>
        <v>2026</v>
      </c>
      <c r="L418405" s="11" t="s">
        <v>25</v>
      </c>
      <c r="M418405" s="11" t="s">
        <v>17</v>
      </c>
    </row>
    <row r="418406" spans="1:13" x14ac:dyDescent="0.25">
      <c r="A418406" s="6">
        <v>46126.458333333336</v>
      </c>
      <c r="B418406" s="11">
        <f t="shared" si="42"/>
        <v>4</v>
      </c>
      <c r="C418406" s="11">
        <f t="shared" si="43"/>
        <v>16</v>
      </c>
      <c r="D418406" s="5" t="s">
        <v>13</v>
      </c>
      <c r="E418406" s="11" t="s">
        <v>14</v>
      </c>
      <c r="F418406" s="9" t="s">
        <v>15</v>
      </c>
      <c r="G418406" s="11">
        <v>1</v>
      </c>
      <c r="J418406" s="7">
        <v>1.056</v>
      </c>
      <c r="K418406" s="11">
        <f t="shared" si="44"/>
        <v>2026</v>
      </c>
      <c r="L418406" s="11" t="s">
        <v>25</v>
      </c>
      <c r="M418406" s="11" t="s">
        <v>17</v>
      </c>
    </row>
    <row r="418407" spans="1:13" x14ac:dyDescent="0.25">
      <c r="A418407" s="6">
        <v>46126.458333333336</v>
      </c>
      <c r="B418407" s="11">
        <f t="shared" si="42"/>
        <v>4</v>
      </c>
      <c r="C418407" s="11">
        <f t="shared" si="43"/>
        <v>16</v>
      </c>
      <c r="D418407" s="5" t="s">
        <v>13</v>
      </c>
      <c r="E418407" s="11" t="s">
        <v>14</v>
      </c>
      <c r="F418407" s="9" t="s">
        <v>15</v>
      </c>
      <c r="G418407" s="11">
        <v>1</v>
      </c>
      <c r="J418407" s="7">
        <v>0.26400000000000001</v>
      </c>
      <c r="K418407" s="11">
        <f t="shared" si="44"/>
        <v>2026</v>
      </c>
      <c r="L418407" s="11" t="s">
        <v>25</v>
      </c>
      <c r="M418407" s="11" t="s">
        <v>17</v>
      </c>
    </row>
    <row r="418408" spans="1:13" x14ac:dyDescent="0.25">
      <c r="A418408" s="6">
        <v>46126.458333333336</v>
      </c>
      <c r="B418408" s="11">
        <f t="shared" si="42"/>
        <v>4</v>
      </c>
      <c r="C418408" s="11">
        <f t="shared" si="43"/>
        <v>16</v>
      </c>
      <c r="D418408" s="5" t="s">
        <v>13</v>
      </c>
      <c r="E418408" s="11" t="s">
        <v>14</v>
      </c>
      <c r="F418408" s="9" t="s">
        <v>15</v>
      </c>
      <c r="G418408" s="11">
        <v>1</v>
      </c>
      <c r="J418408" s="7">
        <v>9.5039999999999996</v>
      </c>
      <c r="K418408" s="11">
        <f t="shared" si="44"/>
        <v>2026</v>
      </c>
      <c r="L418408" s="11" t="s">
        <v>25</v>
      </c>
      <c r="M418408" s="11" t="s">
        <v>17</v>
      </c>
    </row>
    <row r="418409" spans="1:13" x14ac:dyDescent="0.25">
      <c r="A418409" s="6">
        <v>46126.458333333336</v>
      </c>
      <c r="B418409" s="11">
        <f t="shared" si="42"/>
        <v>4</v>
      </c>
      <c r="C418409" s="11">
        <f t="shared" si="43"/>
        <v>16</v>
      </c>
      <c r="D418409" s="5" t="s">
        <v>13</v>
      </c>
      <c r="E418409" s="11" t="s">
        <v>14</v>
      </c>
      <c r="F418409" s="9" t="s">
        <v>15</v>
      </c>
      <c r="G418409" s="11">
        <v>1</v>
      </c>
      <c r="J418409" s="7">
        <v>11.52</v>
      </c>
      <c r="K418409" s="11">
        <f t="shared" si="44"/>
        <v>2026</v>
      </c>
      <c r="L418409" s="11" t="s">
        <v>25</v>
      </c>
      <c r="M418409" s="11" t="s">
        <v>17</v>
      </c>
    </row>
    <row r="418410" spans="1:13" x14ac:dyDescent="0.25">
      <c r="A418410" s="6">
        <v>46130.270833333336</v>
      </c>
      <c r="B418410" s="11">
        <f t="shared" si="42"/>
        <v>4</v>
      </c>
      <c r="C418410" s="11">
        <f t="shared" si="43"/>
        <v>16</v>
      </c>
      <c r="D418410" s="5" t="s">
        <v>13</v>
      </c>
      <c r="E418410" s="11" t="s">
        <v>14</v>
      </c>
      <c r="F418410" s="9" t="s">
        <v>22</v>
      </c>
      <c r="G418410" s="11">
        <v>1</v>
      </c>
      <c r="J418410" s="7">
        <v>1.536</v>
      </c>
      <c r="K418410" s="11">
        <f t="shared" si="44"/>
        <v>2026</v>
      </c>
      <c r="L418410" s="11" t="s">
        <v>25</v>
      </c>
      <c r="M418410" s="11" t="s">
        <v>17</v>
      </c>
    </row>
    <row r="418411" spans="1:13" x14ac:dyDescent="0.25">
      <c r="A418411" s="6">
        <v>46126.923611111109</v>
      </c>
      <c r="B418411" s="11">
        <f t="shared" si="42"/>
        <v>4</v>
      </c>
      <c r="C418411" s="11">
        <f t="shared" si="43"/>
        <v>16</v>
      </c>
      <c r="D418411" s="5" t="s">
        <v>13</v>
      </c>
      <c r="E418411" s="11" t="s">
        <v>14</v>
      </c>
      <c r="F418411" s="9" t="s">
        <v>22</v>
      </c>
      <c r="G418411" s="11">
        <v>1</v>
      </c>
      <c r="J418411" s="7">
        <v>4.6669999999999998</v>
      </c>
      <c r="K418411" s="11">
        <f t="shared" si="44"/>
        <v>2026</v>
      </c>
      <c r="L418411" s="11" t="s">
        <v>25</v>
      </c>
      <c r="M418411" s="11" t="s">
        <v>17</v>
      </c>
    </row>
    <row r="418412" spans="1:13" x14ac:dyDescent="0.25">
      <c r="A418412" s="6">
        <v>46126.166666666664</v>
      </c>
      <c r="B418412" s="11">
        <f t="shared" si="42"/>
        <v>4</v>
      </c>
      <c r="C418412" s="11">
        <f t="shared" si="43"/>
        <v>16</v>
      </c>
      <c r="D418412" s="5" t="s">
        <v>18</v>
      </c>
      <c r="E418412" s="11" t="s">
        <v>14</v>
      </c>
      <c r="F418412" s="9" t="s">
        <v>22</v>
      </c>
      <c r="G418412" s="11">
        <v>1</v>
      </c>
      <c r="J418412" s="7">
        <v>4.8330000000000002</v>
      </c>
      <c r="K418412" s="11">
        <f t="shared" si="44"/>
        <v>2026</v>
      </c>
      <c r="L418412" s="11" t="s">
        <v>25</v>
      </c>
      <c r="M418412" s="11" t="s">
        <v>17</v>
      </c>
    </row>
    <row r="418413" spans="1:13" x14ac:dyDescent="0.25">
      <c r="A418413" s="6">
        <v>46126.166666666664</v>
      </c>
      <c r="B418413" s="11">
        <f t="shared" si="42"/>
        <v>4</v>
      </c>
      <c r="C418413" s="11">
        <f t="shared" si="43"/>
        <v>16</v>
      </c>
      <c r="D418413" s="5" t="s">
        <v>18</v>
      </c>
      <c r="E418413" s="11" t="s">
        <v>14</v>
      </c>
      <c r="F418413" s="9" t="s">
        <v>22</v>
      </c>
      <c r="G418413" s="11">
        <v>1</v>
      </c>
      <c r="J418413" s="7">
        <v>1.286</v>
      </c>
      <c r="K418413" s="11">
        <f t="shared" si="44"/>
        <v>2026</v>
      </c>
      <c r="L418413" s="11" t="s">
        <v>25</v>
      </c>
      <c r="M418413" s="11" t="s">
        <v>17</v>
      </c>
    </row>
    <row r="418414" spans="1:13" x14ac:dyDescent="0.25">
      <c r="A418414" s="6">
        <v>46127.166666666664</v>
      </c>
      <c r="B418414" s="11">
        <f t="shared" si="42"/>
        <v>4</v>
      </c>
      <c r="C418414" s="11">
        <f t="shared" si="43"/>
        <v>16</v>
      </c>
      <c r="D418414" s="5" t="s">
        <v>13</v>
      </c>
      <c r="E418414" s="11" t="s">
        <v>14</v>
      </c>
      <c r="F418414" s="9" t="s">
        <v>15</v>
      </c>
      <c r="G418414" s="11">
        <v>1</v>
      </c>
      <c r="J418414" s="7">
        <v>13.77</v>
      </c>
      <c r="K418414" s="11">
        <f t="shared" si="44"/>
        <v>2026</v>
      </c>
      <c r="L418414" s="11" t="s">
        <v>25</v>
      </c>
      <c r="M418414" s="11" t="s">
        <v>17</v>
      </c>
    </row>
    <row r="418415" spans="1:13" x14ac:dyDescent="0.25">
      <c r="A418415" s="6">
        <v>46128.5</v>
      </c>
      <c r="B418415" s="11">
        <f t="shared" si="42"/>
        <v>4</v>
      </c>
      <c r="C418415" s="11">
        <f t="shared" si="43"/>
        <v>16</v>
      </c>
      <c r="D418415" s="5" t="s">
        <v>13</v>
      </c>
      <c r="E418415" s="11" t="s">
        <v>14</v>
      </c>
      <c r="F418415" s="9" t="s">
        <v>15</v>
      </c>
      <c r="G418415" s="11">
        <v>1</v>
      </c>
      <c r="J418415" s="7">
        <v>4.085</v>
      </c>
      <c r="K418415" s="11">
        <f t="shared" si="44"/>
        <v>2026</v>
      </c>
      <c r="L418415" s="11" t="s">
        <v>25</v>
      </c>
      <c r="M418415" s="11" t="s">
        <v>17</v>
      </c>
    </row>
    <row r="418416" spans="1:13" x14ac:dyDescent="0.25">
      <c r="A418416" s="6">
        <v>46128.5</v>
      </c>
      <c r="B418416" s="11">
        <f t="shared" si="42"/>
        <v>4</v>
      </c>
      <c r="C418416" s="11">
        <f t="shared" si="43"/>
        <v>16</v>
      </c>
      <c r="D418416" s="5" t="s">
        <v>13</v>
      </c>
      <c r="E418416" s="11" t="s">
        <v>14</v>
      </c>
      <c r="F418416" s="9" t="s">
        <v>15</v>
      </c>
      <c r="G418416" s="11">
        <v>1</v>
      </c>
      <c r="J418416" s="7">
        <v>3.714</v>
      </c>
      <c r="K418416" s="11">
        <f t="shared" si="44"/>
        <v>2026</v>
      </c>
      <c r="L418416" s="11" t="s">
        <v>25</v>
      </c>
      <c r="M418416" s="11" t="s">
        <v>17</v>
      </c>
    </row>
    <row r="418417" spans="1:13" x14ac:dyDescent="0.25">
      <c r="A418417" s="6">
        <v>46128.5</v>
      </c>
      <c r="B418417" s="11">
        <f t="shared" si="42"/>
        <v>4</v>
      </c>
      <c r="C418417" s="11">
        <f t="shared" si="43"/>
        <v>16</v>
      </c>
      <c r="D418417" s="5" t="s">
        <v>13</v>
      </c>
      <c r="E418417" s="11" t="s">
        <v>14</v>
      </c>
      <c r="F418417" s="9" t="s">
        <v>15</v>
      </c>
      <c r="G418417" s="11">
        <v>1</v>
      </c>
      <c r="J418417" s="7">
        <v>0.45100000000000001</v>
      </c>
      <c r="K418417" s="11">
        <f t="shared" si="44"/>
        <v>2026</v>
      </c>
      <c r="L418417" s="11" t="s">
        <v>25</v>
      </c>
      <c r="M418417" s="11" t="s">
        <v>17</v>
      </c>
    </row>
    <row r="418418" spans="1:13" x14ac:dyDescent="0.25">
      <c r="A418418" s="6">
        <v>46126.708333333336</v>
      </c>
      <c r="B418418" s="11">
        <f t="shared" si="42"/>
        <v>4</v>
      </c>
      <c r="C418418" s="11">
        <f t="shared" si="43"/>
        <v>16</v>
      </c>
      <c r="D418418" s="5" t="s">
        <v>13</v>
      </c>
      <c r="E418418" s="11" t="s">
        <v>14</v>
      </c>
      <c r="F418418" s="9" t="s">
        <v>15</v>
      </c>
      <c r="G418418" s="11">
        <v>1</v>
      </c>
      <c r="J418418" s="7">
        <v>1</v>
      </c>
      <c r="K418418" s="11">
        <f t="shared" si="44"/>
        <v>2026</v>
      </c>
      <c r="L418418" s="11" t="s">
        <v>25</v>
      </c>
      <c r="M418418" s="11" t="s">
        <v>17</v>
      </c>
    </row>
    <row r="418419" spans="1:13" x14ac:dyDescent="0.25">
      <c r="A418419" s="6">
        <v>46127.166666666664</v>
      </c>
      <c r="B418419" s="11">
        <f t="shared" si="42"/>
        <v>4</v>
      </c>
      <c r="C418419" s="11">
        <f t="shared" si="43"/>
        <v>16</v>
      </c>
      <c r="D418419" s="5" t="s">
        <v>20</v>
      </c>
      <c r="E418419" s="11" t="s">
        <v>14</v>
      </c>
      <c r="F418419" s="9" t="s">
        <v>15</v>
      </c>
      <c r="G418419" s="11">
        <v>1</v>
      </c>
      <c r="J418419" s="7">
        <v>3.4860000000000002</v>
      </c>
      <c r="K418419" s="11">
        <f t="shared" si="44"/>
        <v>2026</v>
      </c>
      <c r="L418419" s="11" t="s">
        <v>25</v>
      </c>
      <c r="M418419" s="11" t="s">
        <v>17</v>
      </c>
    </row>
    <row r="418420" spans="1:13" x14ac:dyDescent="0.25">
      <c r="A418420" s="6">
        <v>46127.166666666664</v>
      </c>
      <c r="B418420" s="11">
        <f t="shared" si="42"/>
        <v>4</v>
      </c>
      <c r="C418420" s="11">
        <f t="shared" si="43"/>
        <v>16</v>
      </c>
      <c r="D418420" s="5" t="s">
        <v>13</v>
      </c>
      <c r="E418420" s="11" t="s">
        <v>14</v>
      </c>
      <c r="F418420" s="9" t="s">
        <v>15</v>
      </c>
      <c r="G418420" s="11">
        <v>1</v>
      </c>
      <c r="J418420" s="7">
        <v>1.6919999999999999</v>
      </c>
      <c r="K418420" s="11">
        <f t="shared" si="44"/>
        <v>2026</v>
      </c>
      <c r="L418420" s="11" t="s">
        <v>25</v>
      </c>
      <c r="M418420" s="11" t="s">
        <v>17</v>
      </c>
    </row>
    <row r="418421" spans="1:13" x14ac:dyDescent="0.25">
      <c r="A418421" s="6">
        <v>46127.166666666664</v>
      </c>
      <c r="B418421" s="11">
        <f t="shared" si="42"/>
        <v>4</v>
      </c>
      <c r="C418421" s="11">
        <f t="shared" si="43"/>
        <v>16</v>
      </c>
      <c r="D418421" s="5" t="s">
        <v>13</v>
      </c>
      <c r="E418421" s="11" t="s">
        <v>14</v>
      </c>
      <c r="F418421" s="9" t="s">
        <v>15</v>
      </c>
      <c r="G418421" s="11">
        <v>1</v>
      </c>
      <c r="J418421" s="7">
        <v>1.6919999999999999</v>
      </c>
      <c r="K418421" s="11">
        <f t="shared" si="44"/>
        <v>2026</v>
      </c>
      <c r="L418421" s="11" t="s">
        <v>25</v>
      </c>
      <c r="M418421" s="11" t="s">
        <v>17</v>
      </c>
    </row>
    <row r="418422" spans="1:13" x14ac:dyDescent="0.25">
      <c r="A418422" s="6">
        <v>46127.166666666664</v>
      </c>
      <c r="B418422" s="11">
        <f t="shared" si="42"/>
        <v>4</v>
      </c>
      <c r="C418422" s="11">
        <f t="shared" si="43"/>
        <v>16</v>
      </c>
      <c r="D418422" s="5" t="s">
        <v>13</v>
      </c>
      <c r="E418422" s="11" t="s">
        <v>14</v>
      </c>
      <c r="F418422" s="9" t="s">
        <v>15</v>
      </c>
      <c r="G418422" s="11">
        <v>1</v>
      </c>
      <c r="J418422" s="7">
        <v>2.6120000000000001</v>
      </c>
      <c r="K418422" s="11">
        <f t="shared" si="44"/>
        <v>2026</v>
      </c>
      <c r="L418422" s="11" t="s">
        <v>25</v>
      </c>
      <c r="M418422" s="11" t="s">
        <v>17</v>
      </c>
    </row>
    <row r="418423" spans="1:13" x14ac:dyDescent="0.25">
      <c r="A418423" s="6">
        <v>46127.166666666664</v>
      </c>
      <c r="B418423" s="11">
        <f t="shared" si="42"/>
        <v>4</v>
      </c>
      <c r="C418423" s="11">
        <f t="shared" si="43"/>
        <v>16</v>
      </c>
      <c r="D418423" s="5" t="s">
        <v>13</v>
      </c>
      <c r="E418423" s="11" t="s">
        <v>14</v>
      </c>
      <c r="F418423" s="9" t="s">
        <v>15</v>
      </c>
      <c r="G418423" s="11">
        <v>1</v>
      </c>
      <c r="J418423" s="7">
        <v>3.2469999999999999</v>
      </c>
      <c r="K418423" s="11">
        <f t="shared" si="44"/>
        <v>2026</v>
      </c>
      <c r="L418423" s="11" t="s">
        <v>25</v>
      </c>
      <c r="M418423" s="11" t="s">
        <v>17</v>
      </c>
    </row>
    <row r="418424" spans="1:13" x14ac:dyDescent="0.25">
      <c r="A418424" s="6">
        <v>46127.166666666664</v>
      </c>
      <c r="B418424" s="11">
        <f t="shared" si="42"/>
        <v>4</v>
      </c>
      <c r="C418424" s="11">
        <f t="shared" si="43"/>
        <v>16</v>
      </c>
      <c r="D418424" s="5" t="s">
        <v>13</v>
      </c>
      <c r="E418424" s="11" t="s">
        <v>14</v>
      </c>
      <c r="F418424" s="9" t="s">
        <v>15</v>
      </c>
      <c r="G418424" s="11">
        <v>1</v>
      </c>
      <c r="J418424" s="7">
        <v>1.3009999999999999</v>
      </c>
      <c r="K418424" s="11">
        <f t="shared" si="44"/>
        <v>2026</v>
      </c>
      <c r="L418424" s="11" t="s">
        <v>25</v>
      </c>
      <c r="M418424" s="11" t="s">
        <v>17</v>
      </c>
    </row>
    <row r="418425" spans="1:13" x14ac:dyDescent="0.25">
      <c r="A418425" s="6">
        <v>46127.166666666664</v>
      </c>
      <c r="B418425" s="11">
        <f t="shared" si="42"/>
        <v>4</v>
      </c>
      <c r="C418425" s="11">
        <f t="shared" si="43"/>
        <v>16</v>
      </c>
      <c r="D418425" s="5" t="s">
        <v>13</v>
      </c>
      <c r="E418425" s="11" t="s">
        <v>14</v>
      </c>
      <c r="F418425" s="9" t="s">
        <v>15</v>
      </c>
      <c r="G418425" s="11">
        <v>1</v>
      </c>
      <c r="J418425" s="7">
        <v>0.63500000000000001</v>
      </c>
      <c r="K418425" s="11">
        <f t="shared" si="44"/>
        <v>2026</v>
      </c>
      <c r="L418425" s="11" t="s">
        <v>25</v>
      </c>
      <c r="M418425" s="11" t="s">
        <v>17</v>
      </c>
    </row>
    <row r="418426" spans="1:13" x14ac:dyDescent="0.25">
      <c r="A418426" s="6">
        <v>46128.354166666664</v>
      </c>
      <c r="B418426" s="11">
        <f t="shared" si="42"/>
        <v>4</v>
      </c>
      <c r="C418426" s="11">
        <f t="shared" si="43"/>
        <v>16</v>
      </c>
      <c r="D418426" s="5" t="s">
        <v>19</v>
      </c>
      <c r="E418426" s="11" t="s">
        <v>14</v>
      </c>
      <c r="F418426" s="9" t="s">
        <v>22</v>
      </c>
      <c r="G418426" s="11">
        <v>1</v>
      </c>
      <c r="J418426" s="7">
        <v>1.72</v>
      </c>
      <c r="K418426" s="11">
        <f t="shared" si="44"/>
        <v>2026</v>
      </c>
      <c r="L418426" s="11" t="s">
        <v>25</v>
      </c>
      <c r="M418426" s="11" t="s">
        <v>17</v>
      </c>
    </row>
    <row r="418427" spans="1:13" x14ac:dyDescent="0.25">
      <c r="A418427" s="6">
        <v>46128.354166666664</v>
      </c>
      <c r="B418427" s="11">
        <f t="shared" si="42"/>
        <v>4</v>
      </c>
      <c r="C418427" s="11">
        <f t="shared" si="43"/>
        <v>16</v>
      </c>
      <c r="D418427" s="5" t="s">
        <v>19</v>
      </c>
      <c r="E418427" s="11" t="s">
        <v>14</v>
      </c>
      <c r="F418427" s="9" t="s">
        <v>22</v>
      </c>
      <c r="G418427" s="11">
        <v>1</v>
      </c>
      <c r="J418427" s="7">
        <v>1.72</v>
      </c>
      <c r="K418427" s="11">
        <f t="shared" si="44"/>
        <v>2026</v>
      </c>
      <c r="L418427" s="11" t="s">
        <v>25</v>
      </c>
      <c r="M418427" s="11" t="s">
        <v>17</v>
      </c>
    </row>
    <row r="418428" spans="1:13" x14ac:dyDescent="0.25">
      <c r="A418428" s="6">
        <v>46129.048611111109</v>
      </c>
      <c r="B418428" s="11">
        <f t="shared" si="42"/>
        <v>4</v>
      </c>
      <c r="C418428" s="11">
        <f t="shared" si="43"/>
        <v>16</v>
      </c>
      <c r="D418428" s="5" t="s">
        <v>13</v>
      </c>
      <c r="E418428" s="11" t="s">
        <v>14</v>
      </c>
      <c r="F418428" s="9" t="s">
        <v>22</v>
      </c>
      <c r="G418428" s="11">
        <v>1</v>
      </c>
      <c r="J418428" s="7">
        <v>1.24</v>
      </c>
      <c r="K418428" s="11">
        <f t="shared" si="44"/>
        <v>2026</v>
      </c>
      <c r="L418428" s="11" t="s">
        <v>25</v>
      </c>
      <c r="M418428" s="11" t="s">
        <v>17</v>
      </c>
    </row>
    <row r="418429" spans="1:13" x14ac:dyDescent="0.25">
      <c r="A418429" s="6">
        <v>46127.708333333336</v>
      </c>
      <c r="B418429" s="11">
        <f t="shared" si="42"/>
        <v>4</v>
      </c>
      <c r="C418429" s="11">
        <f t="shared" si="43"/>
        <v>16</v>
      </c>
      <c r="D418429" s="5" t="s">
        <v>18</v>
      </c>
      <c r="E418429" s="11" t="s">
        <v>14</v>
      </c>
      <c r="F418429" s="9" t="s">
        <v>15</v>
      </c>
      <c r="G418429" s="11">
        <v>1</v>
      </c>
      <c r="J418429" s="7">
        <v>13.59</v>
      </c>
      <c r="K418429" s="11">
        <f t="shared" si="44"/>
        <v>2026</v>
      </c>
      <c r="L418429" s="11" t="s">
        <v>25</v>
      </c>
      <c r="M418429" s="11" t="s">
        <v>17</v>
      </c>
    </row>
    <row r="418430" spans="1:13" x14ac:dyDescent="0.25">
      <c r="A418430" s="6">
        <v>46126.708333333336</v>
      </c>
      <c r="B418430" s="11">
        <f t="shared" si="42"/>
        <v>4</v>
      </c>
      <c r="C418430" s="11">
        <f t="shared" si="43"/>
        <v>16</v>
      </c>
      <c r="D418430" s="5" t="s">
        <v>18</v>
      </c>
      <c r="E418430" s="11" t="s">
        <v>14</v>
      </c>
      <c r="F418430" s="9" t="s">
        <v>15</v>
      </c>
      <c r="G418430" s="11">
        <v>1</v>
      </c>
      <c r="J418430" s="7">
        <v>5.52</v>
      </c>
      <c r="K418430" s="11">
        <f t="shared" si="44"/>
        <v>2026</v>
      </c>
      <c r="L418430" s="11" t="s">
        <v>25</v>
      </c>
      <c r="M418430" s="11" t="s">
        <v>17</v>
      </c>
    </row>
    <row r="418431" spans="1:13" x14ac:dyDescent="0.25">
      <c r="A418431" s="6">
        <v>46124.291666666664</v>
      </c>
      <c r="B418431" s="11">
        <f t="shared" si="42"/>
        <v>4</v>
      </c>
      <c r="C418431" s="11">
        <f t="shared" si="43"/>
        <v>16</v>
      </c>
      <c r="D418431" s="5" t="s">
        <v>18</v>
      </c>
      <c r="E418431" s="11" t="s">
        <v>14</v>
      </c>
      <c r="F418431" s="9" t="s">
        <v>15</v>
      </c>
      <c r="G418431" s="11">
        <v>1</v>
      </c>
      <c r="J418431" s="7">
        <v>2.476</v>
      </c>
      <c r="K418431" s="11">
        <f t="shared" si="44"/>
        <v>2026</v>
      </c>
      <c r="L418431" s="11" t="s">
        <v>25</v>
      </c>
      <c r="M418431" s="11" t="s">
        <v>17</v>
      </c>
    </row>
    <row r="418432" spans="1:13" x14ac:dyDescent="0.25">
      <c r="A418432" s="6">
        <v>46124.291666666664</v>
      </c>
      <c r="B418432" s="11">
        <f t="shared" si="42"/>
        <v>4</v>
      </c>
      <c r="C418432" s="11">
        <f t="shared" si="43"/>
        <v>16</v>
      </c>
      <c r="D418432" s="5" t="s">
        <v>18</v>
      </c>
      <c r="E418432" s="11" t="s">
        <v>14</v>
      </c>
      <c r="F418432" s="9" t="s">
        <v>15</v>
      </c>
      <c r="G418432" s="11">
        <v>1</v>
      </c>
      <c r="J418432" s="7">
        <v>6.5010000000000003</v>
      </c>
      <c r="K418432" s="11">
        <f t="shared" si="44"/>
        <v>2026</v>
      </c>
      <c r="L418432" s="11" t="s">
        <v>25</v>
      </c>
      <c r="M418432" s="11" t="s">
        <v>17</v>
      </c>
    </row>
    <row r="418433" spans="1:13" x14ac:dyDescent="0.25">
      <c r="A418433" s="6">
        <v>46124.291666666664</v>
      </c>
      <c r="B418433" s="11">
        <f t="shared" si="42"/>
        <v>4</v>
      </c>
      <c r="C418433" s="11">
        <f t="shared" si="43"/>
        <v>16</v>
      </c>
      <c r="D418433" s="5" t="s">
        <v>18</v>
      </c>
      <c r="E418433" s="11" t="s">
        <v>14</v>
      </c>
      <c r="F418433" s="9" t="s">
        <v>15</v>
      </c>
      <c r="G418433" s="11">
        <v>1</v>
      </c>
      <c r="J418433" s="7">
        <v>24.210999999999999</v>
      </c>
      <c r="K418433" s="11">
        <f t="shared" si="44"/>
        <v>2026</v>
      </c>
      <c r="L418433" s="11" t="s">
        <v>25</v>
      </c>
      <c r="M418433" s="11" t="s">
        <v>17</v>
      </c>
    </row>
    <row r="418434" spans="1:13" x14ac:dyDescent="0.25">
      <c r="A418434" s="6">
        <v>46124.291666666664</v>
      </c>
      <c r="B418434" s="11">
        <f t="shared" si="42"/>
        <v>4</v>
      </c>
      <c r="C418434" s="11">
        <f t="shared" si="43"/>
        <v>16</v>
      </c>
      <c r="D418434" s="5" t="s">
        <v>13</v>
      </c>
      <c r="E418434" s="11" t="s">
        <v>14</v>
      </c>
      <c r="F418434" s="9" t="s">
        <v>15</v>
      </c>
      <c r="G418434" s="11">
        <v>1</v>
      </c>
      <c r="J418434" s="7">
        <v>2.3079999999999998</v>
      </c>
      <c r="K418434" s="11">
        <f t="shared" si="44"/>
        <v>2026</v>
      </c>
      <c r="L418434" s="11" t="s">
        <v>25</v>
      </c>
      <c r="M418434" s="11" t="s">
        <v>17</v>
      </c>
    </row>
    <row r="418435" spans="1:13" x14ac:dyDescent="0.25">
      <c r="A418435" s="6">
        <v>46126.708333333336</v>
      </c>
      <c r="B418435" s="11">
        <f t="shared" si="42"/>
        <v>4</v>
      </c>
      <c r="C418435" s="11">
        <f t="shared" si="43"/>
        <v>16</v>
      </c>
      <c r="D418435" s="5" t="s">
        <v>18</v>
      </c>
      <c r="E418435" s="11" t="s">
        <v>14</v>
      </c>
      <c r="F418435" s="9" t="s">
        <v>15</v>
      </c>
      <c r="G418435" s="11">
        <v>1</v>
      </c>
      <c r="J418435" s="7">
        <v>9.9700000000000006</v>
      </c>
      <c r="K418435" s="11">
        <f t="shared" si="44"/>
        <v>2026</v>
      </c>
      <c r="L418435" s="11" t="s">
        <v>25</v>
      </c>
      <c r="M418435" s="11" t="s">
        <v>17</v>
      </c>
    </row>
    <row r="418436" spans="1:13" x14ac:dyDescent="0.25">
      <c r="A418436" s="6">
        <v>46124.291666666664</v>
      </c>
      <c r="B418436" s="11">
        <f t="shared" si="42"/>
        <v>4</v>
      </c>
      <c r="C418436" s="11">
        <f t="shared" si="43"/>
        <v>16</v>
      </c>
      <c r="D418436" s="5" t="s">
        <v>18</v>
      </c>
      <c r="E418436" s="11" t="s">
        <v>14</v>
      </c>
      <c r="F418436" s="9" t="s">
        <v>15</v>
      </c>
      <c r="G418436" s="11">
        <v>1</v>
      </c>
      <c r="J418436" s="7">
        <v>2.88</v>
      </c>
      <c r="K418436" s="11">
        <f t="shared" si="44"/>
        <v>2026</v>
      </c>
      <c r="L418436" s="11" t="s">
        <v>25</v>
      </c>
      <c r="M418436" s="11" t="s">
        <v>17</v>
      </c>
    </row>
    <row r="418437" spans="1:13" x14ac:dyDescent="0.25">
      <c r="A418437" s="6">
        <v>46126.708333333336</v>
      </c>
      <c r="B418437" s="11">
        <f t="shared" si="42"/>
        <v>4</v>
      </c>
      <c r="C418437" s="11">
        <f t="shared" si="43"/>
        <v>16</v>
      </c>
      <c r="D418437" s="5" t="s">
        <v>13</v>
      </c>
      <c r="E418437" s="11" t="s">
        <v>14</v>
      </c>
      <c r="F418437" s="9" t="s">
        <v>15</v>
      </c>
      <c r="G418437" s="11">
        <v>1</v>
      </c>
      <c r="J418437" s="7">
        <v>0.9</v>
      </c>
      <c r="K418437" s="11">
        <f t="shared" si="44"/>
        <v>2026</v>
      </c>
      <c r="L418437" s="11" t="s">
        <v>25</v>
      </c>
      <c r="M418437" s="11" t="s">
        <v>17</v>
      </c>
    </row>
    <row r="418438" spans="1:13" x14ac:dyDescent="0.25">
      <c r="A418438" s="6">
        <v>46126.708333333336</v>
      </c>
      <c r="B418438" s="11">
        <f t="shared" si="42"/>
        <v>4</v>
      </c>
      <c r="C418438" s="11">
        <f t="shared" si="43"/>
        <v>16</v>
      </c>
      <c r="D418438" s="5" t="s">
        <v>18</v>
      </c>
      <c r="E418438" s="11" t="s">
        <v>14</v>
      </c>
      <c r="F418438" s="9" t="s">
        <v>15</v>
      </c>
      <c r="G418438" s="11">
        <v>1</v>
      </c>
      <c r="J418438" s="7">
        <v>14.76</v>
      </c>
      <c r="K418438" s="11">
        <f t="shared" si="44"/>
        <v>2026</v>
      </c>
      <c r="L418438" s="11" t="s">
        <v>25</v>
      </c>
      <c r="M418438" s="11" t="s">
        <v>17</v>
      </c>
    </row>
    <row r="418439" spans="1:13" x14ac:dyDescent="0.25">
      <c r="A418439" s="6">
        <v>46126.708333333336</v>
      </c>
      <c r="B418439" s="11">
        <f t="shared" si="42"/>
        <v>4</v>
      </c>
      <c r="C418439" s="11">
        <f t="shared" si="43"/>
        <v>16</v>
      </c>
      <c r="D418439" s="5" t="s">
        <v>13</v>
      </c>
      <c r="E418439" s="11" t="s">
        <v>14</v>
      </c>
      <c r="F418439" s="9" t="s">
        <v>15</v>
      </c>
      <c r="G418439" s="11">
        <v>1</v>
      </c>
      <c r="J418439" s="7">
        <v>12.93</v>
      </c>
      <c r="K418439" s="11">
        <f t="shared" si="44"/>
        <v>2026</v>
      </c>
      <c r="L418439" s="11" t="s">
        <v>25</v>
      </c>
      <c r="M418439" s="11" t="s">
        <v>17</v>
      </c>
    </row>
    <row r="418440" spans="1:13" x14ac:dyDescent="0.25">
      <c r="A418440" s="6">
        <v>46128.354166666664</v>
      </c>
      <c r="B418440" s="11">
        <f t="shared" si="42"/>
        <v>4</v>
      </c>
      <c r="C418440" s="11">
        <f t="shared" si="43"/>
        <v>16</v>
      </c>
      <c r="D418440" s="5" t="s">
        <v>19</v>
      </c>
      <c r="E418440" s="11" t="s">
        <v>14</v>
      </c>
      <c r="F418440" s="9" t="s">
        <v>22</v>
      </c>
      <c r="G418440" s="11">
        <v>1</v>
      </c>
      <c r="J418440" s="7">
        <v>2.157</v>
      </c>
      <c r="K418440" s="11">
        <f t="shared" si="44"/>
        <v>2026</v>
      </c>
      <c r="L418440" s="11" t="s">
        <v>25</v>
      </c>
      <c r="M418440" s="11" t="s">
        <v>17</v>
      </c>
    </row>
    <row r="418441" spans="1:13" x14ac:dyDescent="0.25">
      <c r="A418441" s="6">
        <v>46126</v>
      </c>
      <c r="B418441" s="11">
        <f t="shared" si="42"/>
        <v>4</v>
      </c>
      <c r="C418441" s="11">
        <f t="shared" si="43"/>
        <v>16</v>
      </c>
      <c r="D418441" s="5" t="s">
        <v>19</v>
      </c>
      <c r="E418441" s="11" t="s">
        <v>14</v>
      </c>
      <c r="F418441" s="9" t="s">
        <v>22</v>
      </c>
      <c r="G418441" s="11">
        <v>1</v>
      </c>
      <c r="J418441" s="7">
        <v>4.2</v>
      </c>
      <c r="K418441" s="11">
        <f t="shared" si="44"/>
        <v>2026</v>
      </c>
      <c r="L418441" s="11" t="s">
        <v>25</v>
      </c>
      <c r="M418441" s="11" t="s">
        <v>17</v>
      </c>
    </row>
    <row r="418442" spans="1:13" x14ac:dyDescent="0.25">
      <c r="A418442" s="6">
        <v>46127.708333333336</v>
      </c>
      <c r="B418442" s="11">
        <f t="shared" si="42"/>
        <v>4</v>
      </c>
      <c r="C418442" s="11">
        <f t="shared" si="43"/>
        <v>16</v>
      </c>
      <c r="D418442" s="5" t="s">
        <v>18</v>
      </c>
      <c r="E418442" s="11" t="s">
        <v>14</v>
      </c>
      <c r="F418442" s="9" t="s">
        <v>15</v>
      </c>
      <c r="G418442" s="11">
        <v>1</v>
      </c>
      <c r="J418442" s="7">
        <v>6.05</v>
      </c>
      <c r="K418442" s="11">
        <f t="shared" si="44"/>
        <v>2026</v>
      </c>
      <c r="L418442" s="11" t="s">
        <v>25</v>
      </c>
      <c r="M418442" s="11" t="s">
        <v>17</v>
      </c>
    </row>
    <row r="418443" spans="1:13" x14ac:dyDescent="0.25">
      <c r="A418443" s="6">
        <v>46126.708333333336</v>
      </c>
      <c r="B418443" s="11">
        <f t="shared" si="42"/>
        <v>4</v>
      </c>
      <c r="C418443" s="11">
        <f t="shared" si="43"/>
        <v>16</v>
      </c>
      <c r="D418443" s="5" t="s">
        <v>18</v>
      </c>
      <c r="E418443" s="11" t="s">
        <v>14</v>
      </c>
      <c r="F418443" s="9" t="s">
        <v>15</v>
      </c>
      <c r="G418443" s="11">
        <v>1</v>
      </c>
      <c r="J418443" s="7">
        <v>1.19</v>
      </c>
      <c r="K418443" s="11">
        <f t="shared" si="44"/>
        <v>2026</v>
      </c>
      <c r="L418443" s="11" t="s">
        <v>25</v>
      </c>
      <c r="M418443" s="11" t="s">
        <v>17</v>
      </c>
    </row>
    <row r="418444" spans="1:13" x14ac:dyDescent="0.25">
      <c r="A418444" s="6">
        <v>46128.5</v>
      </c>
      <c r="B418444" s="11">
        <f t="shared" si="42"/>
        <v>4</v>
      </c>
      <c r="C418444" s="11">
        <f t="shared" si="43"/>
        <v>16</v>
      </c>
      <c r="D418444" s="5" t="s">
        <v>13</v>
      </c>
      <c r="E418444" s="11" t="s">
        <v>14</v>
      </c>
      <c r="F418444" s="9" t="s">
        <v>15</v>
      </c>
      <c r="G418444" s="11">
        <v>1</v>
      </c>
      <c r="J418444" s="7">
        <v>1.6259999999999999</v>
      </c>
      <c r="K418444" s="11">
        <f t="shared" si="44"/>
        <v>2026</v>
      </c>
      <c r="L418444" s="11" t="s">
        <v>25</v>
      </c>
      <c r="M418444" s="11" t="s">
        <v>17</v>
      </c>
    </row>
    <row r="418445" spans="1:13" x14ac:dyDescent="0.25">
      <c r="A418445" s="6">
        <v>46127.708333333336</v>
      </c>
      <c r="B418445" s="11">
        <f t="shared" si="42"/>
        <v>4</v>
      </c>
      <c r="C418445" s="11">
        <f t="shared" si="43"/>
        <v>16</v>
      </c>
      <c r="D418445" s="5" t="s">
        <v>18</v>
      </c>
      <c r="E418445" s="11" t="s">
        <v>14</v>
      </c>
      <c r="F418445" s="9" t="s">
        <v>15</v>
      </c>
      <c r="G418445" s="11">
        <v>1</v>
      </c>
      <c r="J418445" s="7">
        <v>8.09</v>
      </c>
      <c r="K418445" s="11">
        <f t="shared" si="44"/>
        <v>2026</v>
      </c>
      <c r="L418445" s="11" t="s">
        <v>25</v>
      </c>
      <c r="M418445" s="11" t="s">
        <v>17</v>
      </c>
    </row>
    <row r="418446" spans="1:13" x14ac:dyDescent="0.25">
      <c r="A418446" s="6">
        <v>46128.5</v>
      </c>
      <c r="B418446" s="11">
        <f t="shared" si="42"/>
        <v>4</v>
      </c>
      <c r="C418446" s="11">
        <f t="shared" si="43"/>
        <v>16</v>
      </c>
      <c r="D418446" s="5" t="s">
        <v>13</v>
      </c>
      <c r="E418446" s="11" t="s">
        <v>14</v>
      </c>
      <c r="F418446" s="9" t="s">
        <v>15</v>
      </c>
      <c r="G418446" s="11">
        <v>1</v>
      </c>
      <c r="J418446" s="7">
        <v>1.4410000000000001</v>
      </c>
      <c r="K418446" s="11">
        <f t="shared" si="44"/>
        <v>2026</v>
      </c>
      <c r="L418446" s="11" t="s">
        <v>25</v>
      </c>
      <c r="M418446" s="11" t="s">
        <v>17</v>
      </c>
    </row>
    <row r="418447" spans="1:13" x14ac:dyDescent="0.25">
      <c r="A418447" s="6">
        <v>46126.631944444445</v>
      </c>
      <c r="B418447" s="11">
        <f t="shared" si="42"/>
        <v>4</v>
      </c>
      <c r="C418447" s="11">
        <f t="shared" si="43"/>
        <v>16</v>
      </c>
      <c r="D418447" s="5" t="s">
        <v>13</v>
      </c>
      <c r="E418447" s="11" t="s">
        <v>14</v>
      </c>
      <c r="F418447" s="9" t="s">
        <v>22</v>
      </c>
      <c r="G418447" s="11">
        <v>1</v>
      </c>
      <c r="J418447" s="7">
        <v>7.74</v>
      </c>
      <c r="K418447" s="11">
        <f t="shared" si="44"/>
        <v>2026</v>
      </c>
      <c r="L418447" s="11" t="s">
        <v>25</v>
      </c>
      <c r="M418447" s="11" t="s">
        <v>17</v>
      </c>
    </row>
    <row r="418448" spans="1:13" x14ac:dyDescent="0.25">
      <c r="A418448" s="6">
        <v>46127.458333333336</v>
      </c>
      <c r="B418448" s="11">
        <f t="shared" si="42"/>
        <v>4</v>
      </c>
      <c r="C418448" s="11">
        <f t="shared" si="43"/>
        <v>16</v>
      </c>
      <c r="D418448" s="5" t="s">
        <v>13</v>
      </c>
      <c r="E418448" s="11" t="s">
        <v>14</v>
      </c>
      <c r="F418448" s="9" t="s">
        <v>15</v>
      </c>
      <c r="G418448" s="11">
        <v>1</v>
      </c>
      <c r="J418448" s="7">
        <v>9.3640000000000008</v>
      </c>
      <c r="K418448" s="11">
        <f t="shared" si="44"/>
        <v>2026</v>
      </c>
      <c r="L418448" s="11" t="s">
        <v>25</v>
      </c>
      <c r="M418448" s="11" t="s">
        <v>17</v>
      </c>
    </row>
    <row r="418449" spans="1:13" x14ac:dyDescent="0.25">
      <c r="A418449" s="6">
        <v>46127</v>
      </c>
      <c r="B418449" s="11">
        <f t="shared" si="42"/>
        <v>4</v>
      </c>
      <c r="C418449" s="11">
        <f t="shared" si="43"/>
        <v>16</v>
      </c>
      <c r="D418449" s="5" t="s">
        <v>20</v>
      </c>
      <c r="E418449" s="11" t="s">
        <v>14</v>
      </c>
      <c r="F418449" s="9" t="s">
        <v>22</v>
      </c>
      <c r="G418449" s="11">
        <v>1</v>
      </c>
      <c r="J418449" s="7">
        <v>0.70799999999999996</v>
      </c>
      <c r="K418449" s="11">
        <f t="shared" si="44"/>
        <v>2026</v>
      </c>
      <c r="L418449" s="11" t="s">
        <v>25</v>
      </c>
      <c r="M418449" s="11" t="s">
        <v>17</v>
      </c>
    </row>
    <row r="418450" spans="1:13" x14ac:dyDescent="0.25">
      <c r="A418450" s="6">
        <v>46124.291666666664</v>
      </c>
      <c r="B418450" s="11">
        <f t="shared" si="42"/>
        <v>4</v>
      </c>
      <c r="C418450" s="11">
        <f t="shared" si="43"/>
        <v>16</v>
      </c>
      <c r="D418450" s="5" t="s">
        <v>13</v>
      </c>
      <c r="E418450" s="11" t="s">
        <v>14</v>
      </c>
      <c r="F418450" s="9" t="s">
        <v>15</v>
      </c>
      <c r="G418450" s="11">
        <v>1</v>
      </c>
      <c r="J418450" s="7">
        <v>2.1269999999999998</v>
      </c>
      <c r="K418450" s="11">
        <f t="shared" si="44"/>
        <v>2026</v>
      </c>
      <c r="L418450" s="11" t="s">
        <v>25</v>
      </c>
      <c r="M418450" s="11" t="s">
        <v>17</v>
      </c>
    </row>
    <row r="418451" spans="1:13" x14ac:dyDescent="0.25">
      <c r="A418451" s="6">
        <v>46130</v>
      </c>
      <c r="B418451" s="11">
        <f t="shared" si="42"/>
        <v>4</v>
      </c>
      <c r="C418451" s="11">
        <f t="shared" si="43"/>
        <v>16</v>
      </c>
      <c r="D418451" s="5" t="s">
        <v>13</v>
      </c>
      <c r="E418451" s="11" t="s">
        <v>14</v>
      </c>
      <c r="F418451" s="9" t="s">
        <v>22</v>
      </c>
      <c r="G418451" s="11">
        <v>1</v>
      </c>
      <c r="J418451" s="7">
        <v>0.79600000000000004</v>
      </c>
      <c r="K418451" s="11">
        <f t="shared" si="44"/>
        <v>2026</v>
      </c>
      <c r="L418451" s="11" t="s">
        <v>25</v>
      </c>
      <c r="M418451" s="11" t="s">
        <v>17</v>
      </c>
    </row>
    <row r="418452" spans="1:13" x14ac:dyDescent="0.25">
      <c r="A418452" s="6">
        <v>46126.708333333336</v>
      </c>
      <c r="B418452" s="11">
        <f t="shared" si="42"/>
        <v>4</v>
      </c>
      <c r="C418452" s="11">
        <f t="shared" si="43"/>
        <v>16</v>
      </c>
      <c r="D418452" s="5" t="s">
        <v>13</v>
      </c>
      <c r="E418452" s="11" t="s">
        <v>14</v>
      </c>
      <c r="F418452" s="9" t="s">
        <v>15</v>
      </c>
      <c r="G418452" s="11">
        <v>1</v>
      </c>
      <c r="J418452" s="7">
        <v>3.33</v>
      </c>
      <c r="K418452" s="11">
        <f t="shared" si="44"/>
        <v>2026</v>
      </c>
      <c r="L418452" s="11" t="s">
        <v>25</v>
      </c>
      <c r="M418452" s="11" t="s">
        <v>17</v>
      </c>
    </row>
    <row r="418453" spans="1:13" x14ac:dyDescent="0.25">
      <c r="A418453" s="6">
        <v>46126.708333333336</v>
      </c>
      <c r="B418453" s="11">
        <f t="shared" si="42"/>
        <v>4</v>
      </c>
      <c r="C418453" s="11">
        <f t="shared" si="43"/>
        <v>16</v>
      </c>
      <c r="D418453" s="5" t="s">
        <v>13</v>
      </c>
      <c r="E418453" s="11" t="s">
        <v>14</v>
      </c>
      <c r="F418453" s="9" t="s">
        <v>15</v>
      </c>
      <c r="G418453" s="11">
        <v>1</v>
      </c>
      <c r="J418453" s="7">
        <v>4.5599999999999996</v>
      </c>
      <c r="K418453" s="11">
        <f t="shared" si="44"/>
        <v>2026</v>
      </c>
      <c r="L418453" s="11" t="s">
        <v>25</v>
      </c>
      <c r="M418453" s="11" t="s">
        <v>17</v>
      </c>
    </row>
    <row r="418454" spans="1:13" x14ac:dyDescent="0.25">
      <c r="A418454" s="6">
        <v>46127.708333333336</v>
      </c>
      <c r="B418454" s="11">
        <f t="shared" si="42"/>
        <v>4</v>
      </c>
      <c r="C418454" s="11">
        <f t="shared" si="43"/>
        <v>16</v>
      </c>
      <c r="D418454" s="5" t="s">
        <v>18</v>
      </c>
      <c r="E418454" s="11" t="s">
        <v>14</v>
      </c>
      <c r="F418454" s="9" t="s">
        <v>15</v>
      </c>
      <c r="G418454" s="11">
        <v>1</v>
      </c>
      <c r="J418454" s="7">
        <v>2.65</v>
      </c>
      <c r="K418454" s="11">
        <f t="shared" si="44"/>
        <v>2026</v>
      </c>
      <c r="L418454" s="11" t="s">
        <v>25</v>
      </c>
      <c r="M418454" s="11" t="s">
        <v>17</v>
      </c>
    </row>
    <row r="418455" spans="1:13" x14ac:dyDescent="0.25">
      <c r="A418455" s="6">
        <v>46127.708333333336</v>
      </c>
      <c r="B418455" s="11">
        <f t="shared" si="42"/>
        <v>4</v>
      </c>
      <c r="C418455" s="11">
        <f t="shared" si="43"/>
        <v>16</v>
      </c>
      <c r="D418455" s="5" t="s">
        <v>18</v>
      </c>
      <c r="E418455" s="11" t="s">
        <v>14</v>
      </c>
      <c r="F418455" s="9" t="s">
        <v>15</v>
      </c>
      <c r="G418455" s="11">
        <v>1</v>
      </c>
      <c r="J418455" s="7">
        <v>4.8479999999999999</v>
      </c>
      <c r="K418455" s="11">
        <f t="shared" si="44"/>
        <v>2026</v>
      </c>
      <c r="L418455" s="11" t="s">
        <v>25</v>
      </c>
      <c r="M418455" s="11" t="s">
        <v>17</v>
      </c>
    </row>
    <row r="418456" spans="1:13" x14ac:dyDescent="0.25">
      <c r="A418456" s="6">
        <v>46128.5</v>
      </c>
      <c r="B418456" s="11">
        <f t="shared" si="42"/>
        <v>4</v>
      </c>
      <c r="C418456" s="11">
        <f t="shared" si="43"/>
        <v>16</v>
      </c>
      <c r="D418456" s="5" t="s">
        <v>13</v>
      </c>
      <c r="E418456" s="11" t="s">
        <v>14</v>
      </c>
      <c r="F418456" s="9" t="s">
        <v>15</v>
      </c>
      <c r="G418456" s="11">
        <v>1</v>
      </c>
      <c r="J418456" s="7">
        <v>5.7530000000000001</v>
      </c>
      <c r="K418456" s="11">
        <f t="shared" si="44"/>
        <v>2026</v>
      </c>
      <c r="L418456" s="11" t="s">
        <v>25</v>
      </c>
      <c r="M418456" s="11" t="s">
        <v>17</v>
      </c>
    </row>
    <row r="418457" spans="1:13" x14ac:dyDescent="0.25">
      <c r="A418457" s="6">
        <v>46128.5</v>
      </c>
      <c r="B418457" s="11">
        <f t="shared" si="42"/>
        <v>4</v>
      </c>
      <c r="C418457" s="11">
        <f t="shared" si="43"/>
        <v>16</v>
      </c>
      <c r="D418457" s="5" t="s">
        <v>13</v>
      </c>
      <c r="E418457" s="11" t="s">
        <v>14</v>
      </c>
      <c r="F418457" s="9" t="s">
        <v>15</v>
      </c>
      <c r="G418457" s="11">
        <v>1</v>
      </c>
      <c r="J418457" s="7">
        <v>6.806</v>
      </c>
      <c r="K418457" s="11">
        <f t="shared" si="44"/>
        <v>2026</v>
      </c>
      <c r="L418457" s="11" t="s">
        <v>25</v>
      </c>
      <c r="M418457" s="11" t="s">
        <v>17</v>
      </c>
    </row>
    <row r="418458" spans="1:13" x14ac:dyDescent="0.25">
      <c r="A418458" s="6">
        <v>46128.5</v>
      </c>
      <c r="B418458" s="11">
        <f t="shared" si="42"/>
        <v>4</v>
      </c>
      <c r="C418458" s="11">
        <f t="shared" si="43"/>
        <v>16</v>
      </c>
      <c r="D418458" s="5" t="s">
        <v>13</v>
      </c>
      <c r="E418458" s="11" t="s">
        <v>14</v>
      </c>
      <c r="F418458" s="9" t="s">
        <v>15</v>
      </c>
      <c r="G418458" s="11">
        <v>1</v>
      </c>
      <c r="J418458" s="7">
        <v>3.4000000000000002E-2</v>
      </c>
      <c r="K418458" s="11">
        <f t="shared" si="44"/>
        <v>2026</v>
      </c>
      <c r="L418458" s="11" t="s">
        <v>25</v>
      </c>
      <c r="M418458" s="11" t="s">
        <v>17</v>
      </c>
    </row>
    <row r="418459" spans="1:13" x14ac:dyDescent="0.25">
      <c r="A418459" s="6">
        <v>46126.708333333336</v>
      </c>
      <c r="B418459" s="11">
        <f t="shared" si="42"/>
        <v>4</v>
      </c>
      <c r="C418459" s="11">
        <f t="shared" si="43"/>
        <v>16</v>
      </c>
      <c r="D418459" s="5" t="s">
        <v>21</v>
      </c>
      <c r="E418459" s="11" t="s">
        <v>14</v>
      </c>
      <c r="F418459" s="9" t="s">
        <v>15</v>
      </c>
      <c r="G418459" s="11">
        <v>1</v>
      </c>
      <c r="J418459" s="7">
        <v>0.51</v>
      </c>
      <c r="K418459" s="11">
        <f t="shared" si="44"/>
        <v>2026</v>
      </c>
      <c r="L418459" s="11" t="s">
        <v>25</v>
      </c>
      <c r="M418459" s="11" t="s">
        <v>17</v>
      </c>
    </row>
    <row r="418460" spans="1:13" x14ac:dyDescent="0.25">
      <c r="A418460" s="6">
        <v>46126.708333333336</v>
      </c>
      <c r="B418460" s="11">
        <f t="shared" si="42"/>
        <v>4</v>
      </c>
      <c r="C418460" s="11">
        <f t="shared" si="43"/>
        <v>16</v>
      </c>
      <c r="D418460" s="5" t="s">
        <v>18</v>
      </c>
      <c r="E418460" s="11" t="s">
        <v>14</v>
      </c>
      <c r="F418460" s="9" t="s">
        <v>15</v>
      </c>
      <c r="G418460" s="11">
        <v>1</v>
      </c>
      <c r="J418460" s="7">
        <v>2.91</v>
      </c>
      <c r="K418460" s="11">
        <f t="shared" si="44"/>
        <v>2026</v>
      </c>
      <c r="L418460" s="11" t="s">
        <v>25</v>
      </c>
      <c r="M418460" s="11" t="s">
        <v>17</v>
      </c>
    </row>
    <row r="418461" spans="1:13" x14ac:dyDescent="0.25">
      <c r="A418461" s="6">
        <v>46126.708333333336</v>
      </c>
      <c r="B418461" s="11">
        <f t="shared" ref="B418461:B418473" si="45">MONTH(A418461)</f>
        <v>4</v>
      </c>
      <c r="C418461" s="11">
        <f t="shared" ref="C418461:C418473" si="46">WEEKNUM(A418461)</f>
        <v>16</v>
      </c>
      <c r="D418461" s="5" t="s">
        <v>13</v>
      </c>
      <c r="E418461" s="11" t="s">
        <v>14</v>
      </c>
      <c r="F418461" s="9" t="s">
        <v>15</v>
      </c>
      <c r="G418461" s="11">
        <v>1</v>
      </c>
      <c r="J418461" s="7">
        <v>15.85</v>
      </c>
      <c r="K418461" s="11">
        <f t="shared" ref="K418461:K418524" si="47">YEAR(A418461)</f>
        <v>2026</v>
      </c>
      <c r="L418461" s="11" t="s">
        <v>25</v>
      </c>
      <c r="M418461" s="11" t="s">
        <v>17</v>
      </c>
    </row>
    <row r="418462" spans="1:13" x14ac:dyDescent="0.25">
      <c r="A418462" s="6">
        <v>46126.708333333336</v>
      </c>
      <c r="B418462" s="11">
        <f t="shared" si="45"/>
        <v>4</v>
      </c>
      <c r="C418462" s="11">
        <f t="shared" si="46"/>
        <v>16</v>
      </c>
      <c r="D418462" s="5" t="s">
        <v>13</v>
      </c>
      <c r="E418462" s="11" t="s">
        <v>14</v>
      </c>
      <c r="F418462" s="9" t="s">
        <v>15</v>
      </c>
      <c r="G418462" s="11">
        <v>1</v>
      </c>
      <c r="J418462" s="7">
        <v>4.68</v>
      </c>
      <c r="K418462" s="11">
        <f t="shared" si="47"/>
        <v>2026</v>
      </c>
      <c r="L418462" s="11" t="s">
        <v>25</v>
      </c>
      <c r="M418462" s="11" t="s">
        <v>17</v>
      </c>
    </row>
    <row r="418463" spans="1:13" x14ac:dyDescent="0.25">
      <c r="A418463" s="6">
        <v>46126.708333333336</v>
      </c>
      <c r="B418463" s="11">
        <f t="shared" si="45"/>
        <v>4</v>
      </c>
      <c r="C418463" s="11">
        <f t="shared" si="46"/>
        <v>16</v>
      </c>
      <c r="D418463" s="5" t="s">
        <v>18</v>
      </c>
      <c r="E418463" s="11" t="s">
        <v>14</v>
      </c>
      <c r="F418463" s="9" t="s">
        <v>15</v>
      </c>
      <c r="G418463" s="11">
        <v>1</v>
      </c>
      <c r="J418463" s="7">
        <v>15.9</v>
      </c>
      <c r="K418463" s="11">
        <f t="shared" si="47"/>
        <v>2026</v>
      </c>
      <c r="L418463" s="11" t="s">
        <v>25</v>
      </c>
      <c r="M418463" s="11" t="s">
        <v>17</v>
      </c>
    </row>
    <row r="418464" spans="1:13" x14ac:dyDescent="0.25">
      <c r="A418464" s="6">
        <v>46126</v>
      </c>
      <c r="B418464" s="11">
        <f t="shared" si="45"/>
        <v>4</v>
      </c>
      <c r="C418464" s="11">
        <f t="shared" si="46"/>
        <v>16</v>
      </c>
      <c r="D418464" s="5" t="s">
        <v>19</v>
      </c>
      <c r="E418464" s="11" t="s">
        <v>14</v>
      </c>
      <c r="F418464" s="9" t="s">
        <v>22</v>
      </c>
      <c r="G418464" s="11">
        <v>1</v>
      </c>
      <c r="J418464" s="7">
        <v>0.95799999999999996</v>
      </c>
      <c r="K418464" s="11">
        <f t="shared" si="47"/>
        <v>2026</v>
      </c>
      <c r="L418464" s="11" t="s">
        <v>25</v>
      </c>
      <c r="M418464" s="11" t="s">
        <v>17</v>
      </c>
    </row>
    <row r="418465" spans="1:13" x14ac:dyDescent="0.25">
      <c r="A418465" s="6">
        <v>46130.270833333336</v>
      </c>
      <c r="B418465" s="11">
        <f t="shared" si="45"/>
        <v>4</v>
      </c>
      <c r="C418465" s="11">
        <f t="shared" si="46"/>
        <v>16</v>
      </c>
      <c r="D418465" s="5" t="s">
        <v>18</v>
      </c>
      <c r="E418465" s="11" t="s">
        <v>14</v>
      </c>
      <c r="F418465" s="9" t="s">
        <v>22</v>
      </c>
      <c r="G418465" s="11">
        <v>1</v>
      </c>
      <c r="J418465" s="7">
        <v>2.6880000000000002</v>
      </c>
      <c r="K418465" s="11">
        <f t="shared" si="47"/>
        <v>2026</v>
      </c>
      <c r="L418465" s="11" t="s">
        <v>25</v>
      </c>
      <c r="M418465" s="11" t="s">
        <v>17</v>
      </c>
    </row>
    <row r="418466" spans="1:13" x14ac:dyDescent="0.25">
      <c r="A418466" s="6">
        <v>46130.270833333336</v>
      </c>
      <c r="B418466" s="11">
        <f t="shared" si="45"/>
        <v>4</v>
      </c>
      <c r="C418466" s="11">
        <f t="shared" si="46"/>
        <v>16</v>
      </c>
      <c r="D418466" s="5" t="s">
        <v>18</v>
      </c>
      <c r="E418466" s="11" t="s">
        <v>14</v>
      </c>
      <c r="F418466" s="9" t="s">
        <v>22</v>
      </c>
      <c r="G418466" s="11">
        <v>1</v>
      </c>
      <c r="J418466" s="7">
        <v>2.4</v>
      </c>
      <c r="K418466" s="11">
        <f t="shared" si="47"/>
        <v>2026</v>
      </c>
      <c r="L418466" s="11" t="s">
        <v>25</v>
      </c>
      <c r="M418466" s="11" t="s">
        <v>17</v>
      </c>
    </row>
    <row r="418467" spans="1:13" x14ac:dyDescent="0.25">
      <c r="A418467" s="6">
        <v>46126.90625</v>
      </c>
      <c r="B418467" s="11">
        <f t="shared" si="45"/>
        <v>4</v>
      </c>
      <c r="C418467" s="11">
        <f t="shared" si="46"/>
        <v>16</v>
      </c>
      <c r="D418467" s="5" t="s">
        <v>13</v>
      </c>
      <c r="E418467" s="11" t="s">
        <v>14</v>
      </c>
      <c r="F418467" s="9" t="s">
        <v>22</v>
      </c>
      <c r="G418467" s="11">
        <v>1</v>
      </c>
      <c r="J418467" s="7">
        <v>4.01</v>
      </c>
      <c r="K418467" s="11">
        <f t="shared" si="47"/>
        <v>2026</v>
      </c>
      <c r="L418467" s="11" t="s">
        <v>25</v>
      </c>
      <c r="M418467" s="11" t="s">
        <v>17</v>
      </c>
    </row>
    <row r="418468" spans="1:13" x14ac:dyDescent="0.25">
      <c r="A418468" s="6">
        <v>46126.55972222222</v>
      </c>
      <c r="B418468" s="11">
        <f t="shared" si="45"/>
        <v>4</v>
      </c>
      <c r="C418468" s="11">
        <f t="shared" si="46"/>
        <v>16</v>
      </c>
      <c r="D418468" s="5" t="s">
        <v>18</v>
      </c>
      <c r="E418468" s="11" t="s">
        <v>14</v>
      </c>
      <c r="F418468" s="9" t="s">
        <v>22</v>
      </c>
      <c r="G418468" s="11">
        <v>1</v>
      </c>
      <c r="J418468" s="7">
        <v>10.128</v>
      </c>
      <c r="K418468" s="11">
        <f t="shared" si="47"/>
        <v>2026</v>
      </c>
      <c r="L418468" s="11" t="s">
        <v>25</v>
      </c>
      <c r="M418468" s="11" t="s">
        <v>17</v>
      </c>
    </row>
    <row r="418469" spans="1:13" x14ac:dyDescent="0.25">
      <c r="A418469" s="6">
        <v>46125</v>
      </c>
      <c r="B418469" s="11">
        <f t="shared" si="45"/>
        <v>4</v>
      </c>
      <c r="C418469" s="11">
        <f t="shared" si="46"/>
        <v>16</v>
      </c>
      <c r="D418469" s="5" t="s">
        <v>18</v>
      </c>
      <c r="E418469" s="11" t="s">
        <v>14</v>
      </c>
      <c r="F418469" s="9" t="s">
        <v>22</v>
      </c>
      <c r="G418469" s="11">
        <v>1</v>
      </c>
      <c r="J418469" s="7">
        <v>5.5049999999999999</v>
      </c>
      <c r="K418469" s="11">
        <f t="shared" si="47"/>
        <v>2026</v>
      </c>
      <c r="L418469" s="11" t="s">
        <v>25</v>
      </c>
      <c r="M418469" s="11" t="s">
        <v>17</v>
      </c>
    </row>
    <row r="418470" spans="1:13" x14ac:dyDescent="0.25">
      <c r="A418470" s="6">
        <v>46128.5</v>
      </c>
      <c r="B418470" s="11">
        <f t="shared" si="45"/>
        <v>4</v>
      </c>
      <c r="C418470" s="11">
        <f t="shared" si="46"/>
        <v>16</v>
      </c>
      <c r="D418470" s="5" t="s">
        <v>18</v>
      </c>
      <c r="E418470" s="11" t="s">
        <v>14</v>
      </c>
      <c r="F418470" s="9" t="s">
        <v>15</v>
      </c>
      <c r="G418470" s="11">
        <v>1</v>
      </c>
      <c r="J418470" s="7">
        <v>3.3260000000000001</v>
      </c>
      <c r="K418470" s="11">
        <f t="shared" si="47"/>
        <v>2026</v>
      </c>
      <c r="L418470" s="11" t="s">
        <v>25</v>
      </c>
      <c r="M418470" s="11" t="s">
        <v>17</v>
      </c>
    </row>
    <row r="418471" spans="1:13" x14ac:dyDescent="0.25">
      <c r="A418471" s="6">
        <v>46128.5</v>
      </c>
      <c r="B418471" s="11">
        <f t="shared" si="45"/>
        <v>4</v>
      </c>
      <c r="C418471" s="11">
        <f t="shared" si="46"/>
        <v>16</v>
      </c>
      <c r="D418471" s="5" t="s">
        <v>24</v>
      </c>
      <c r="E418471" s="11" t="s">
        <v>14</v>
      </c>
      <c r="F418471" s="9" t="s">
        <v>15</v>
      </c>
      <c r="G418471" s="11">
        <v>1</v>
      </c>
      <c r="J418471" s="7">
        <v>5.8490000000000002</v>
      </c>
      <c r="K418471" s="11">
        <f t="shared" si="47"/>
        <v>2026</v>
      </c>
      <c r="L418471" s="11" t="s">
        <v>25</v>
      </c>
      <c r="M418471" s="11" t="s">
        <v>17</v>
      </c>
    </row>
    <row r="418472" spans="1:13" x14ac:dyDescent="0.25">
      <c r="A418472" s="6">
        <v>46126.603472222225</v>
      </c>
      <c r="B418472" s="11">
        <f t="shared" si="45"/>
        <v>4</v>
      </c>
      <c r="C418472" s="11">
        <f t="shared" si="46"/>
        <v>16</v>
      </c>
      <c r="D418472" s="5" t="s">
        <v>18</v>
      </c>
      <c r="E418472" s="11" t="s">
        <v>14</v>
      </c>
      <c r="F418472" s="9" t="s">
        <v>22</v>
      </c>
      <c r="G418472" s="11">
        <v>1</v>
      </c>
      <c r="J418472" s="7">
        <v>4.4059999999999997</v>
      </c>
      <c r="K418472" s="11">
        <f t="shared" si="47"/>
        <v>2026</v>
      </c>
      <c r="L418472" s="11" t="s">
        <v>25</v>
      </c>
      <c r="M418472" s="11" t="s">
        <v>17</v>
      </c>
    </row>
    <row r="418473" spans="1:13" x14ac:dyDescent="0.25">
      <c r="A418473" s="6">
        <v>46126.631944444445</v>
      </c>
      <c r="B418473" s="11">
        <f t="shared" si="45"/>
        <v>4</v>
      </c>
      <c r="C418473" s="11">
        <f t="shared" si="46"/>
        <v>16</v>
      </c>
      <c r="D418473" s="5" t="s">
        <v>13</v>
      </c>
      <c r="E418473" s="11" t="s">
        <v>14</v>
      </c>
      <c r="F418473" s="9" t="s">
        <v>22</v>
      </c>
      <c r="G418473" s="11">
        <v>1</v>
      </c>
      <c r="J418473" s="7">
        <v>4.7809999999999997</v>
      </c>
      <c r="K418473" s="11">
        <f t="shared" si="47"/>
        <v>2026</v>
      </c>
      <c r="L418473" s="11" t="s">
        <v>25</v>
      </c>
      <c r="M418473" s="11" t="s">
        <v>17</v>
      </c>
    </row>
    <row r="418474" spans="1:13" x14ac:dyDescent="0.25">
      <c r="A418474" s="6">
        <v>46133</v>
      </c>
      <c r="B418474" s="11">
        <f t="shared" ref="B418474" si="48">MONTH(A418474)</f>
        <v>4</v>
      </c>
      <c r="C418474" s="11">
        <f t="shared" ref="C418474" si="49">WEEKNUM(A418474)</f>
        <v>17</v>
      </c>
      <c r="D418474" s="5" t="s">
        <v>21</v>
      </c>
      <c r="E418474" s="11" t="s">
        <v>14</v>
      </c>
      <c r="F418474" s="9" t="s">
        <v>22</v>
      </c>
      <c r="G418474">
        <v>1</v>
      </c>
      <c r="J418474" s="7">
        <v>3.17</v>
      </c>
      <c r="K418474" s="11">
        <f t="shared" si="47"/>
        <v>2026</v>
      </c>
      <c r="L418474" t="s">
        <v>25</v>
      </c>
      <c r="M418474" t="s">
        <v>17</v>
      </c>
    </row>
    <row r="418475" spans="1:13" x14ac:dyDescent="0.25">
      <c r="A418475" s="6">
        <v>46133</v>
      </c>
      <c r="B418475" s="11">
        <f t="shared" ref="B418475:B418538" si="50">MONTH(A418475)</f>
        <v>4</v>
      </c>
      <c r="C418475" s="11">
        <f t="shared" ref="C418475:C418538" si="51">WEEKNUM(A418475)</f>
        <v>17</v>
      </c>
      <c r="D418475" s="5" t="s">
        <v>13</v>
      </c>
      <c r="E418475" s="11" t="s">
        <v>14</v>
      </c>
      <c r="F418475" s="9" t="s">
        <v>22</v>
      </c>
      <c r="G418475">
        <v>1</v>
      </c>
      <c r="J418475" s="7">
        <v>0.52800000000000002</v>
      </c>
      <c r="K418475" s="11">
        <f t="shared" si="47"/>
        <v>2026</v>
      </c>
      <c r="L418475" t="s">
        <v>25</v>
      </c>
      <c r="M418475" t="s">
        <v>17</v>
      </c>
    </row>
    <row r="418476" spans="1:13" x14ac:dyDescent="0.25">
      <c r="A418476" s="6">
        <v>46133</v>
      </c>
      <c r="B418476" s="11">
        <f t="shared" si="50"/>
        <v>4</v>
      </c>
      <c r="C418476" s="11">
        <f t="shared" si="51"/>
        <v>17</v>
      </c>
      <c r="D418476" s="5" t="s">
        <v>13</v>
      </c>
      <c r="E418476" s="11" t="s">
        <v>14</v>
      </c>
      <c r="F418476" s="9" t="s">
        <v>22</v>
      </c>
      <c r="G418476">
        <v>1</v>
      </c>
      <c r="J418476" s="7">
        <v>10.234</v>
      </c>
      <c r="K418476" s="11">
        <f t="shared" si="47"/>
        <v>2026</v>
      </c>
      <c r="L418476" t="s">
        <v>25</v>
      </c>
      <c r="M418476" t="s">
        <v>17</v>
      </c>
    </row>
    <row r="418477" spans="1:13" x14ac:dyDescent="0.25">
      <c r="A418477" s="6">
        <v>46133</v>
      </c>
      <c r="B418477" s="11">
        <f t="shared" si="50"/>
        <v>4</v>
      </c>
      <c r="C418477" s="11">
        <f t="shared" si="51"/>
        <v>17</v>
      </c>
      <c r="D418477" s="5" t="s">
        <v>13</v>
      </c>
      <c r="E418477" s="11" t="s">
        <v>14</v>
      </c>
      <c r="F418477" s="9" t="s">
        <v>22</v>
      </c>
      <c r="G418477">
        <v>1</v>
      </c>
      <c r="J418477" s="7">
        <v>7.14</v>
      </c>
      <c r="K418477" s="11">
        <f t="shared" si="47"/>
        <v>2026</v>
      </c>
      <c r="L418477" t="s">
        <v>25</v>
      </c>
      <c r="M418477" t="s">
        <v>17</v>
      </c>
    </row>
    <row r="418478" spans="1:13" x14ac:dyDescent="0.25">
      <c r="A418478" s="6">
        <v>46133</v>
      </c>
      <c r="B418478" s="11">
        <f t="shared" si="50"/>
        <v>4</v>
      </c>
      <c r="C418478" s="11">
        <f t="shared" si="51"/>
        <v>17</v>
      </c>
      <c r="D418478" s="5" t="s">
        <v>13</v>
      </c>
      <c r="E418478" s="11" t="s">
        <v>14</v>
      </c>
      <c r="F418478" s="9" t="s">
        <v>22</v>
      </c>
      <c r="G418478">
        <v>1</v>
      </c>
      <c r="J418478" s="7">
        <v>2.9089999999999998</v>
      </c>
      <c r="K418478" s="11">
        <f t="shared" si="47"/>
        <v>2026</v>
      </c>
      <c r="L418478" t="s">
        <v>25</v>
      </c>
      <c r="M418478" t="s">
        <v>17</v>
      </c>
    </row>
    <row r="418479" spans="1:13" x14ac:dyDescent="0.25">
      <c r="A418479" s="6">
        <v>46133</v>
      </c>
      <c r="B418479" s="11">
        <f t="shared" si="50"/>
        <v>4</v>
      </c>
      <c r="C418479" s="11">
        <f t="shared" si="51"/>
        <v>17</v>
      </c>
      <c r="D418479" s="5" t="s">
        <v>13</v>
      </c>
      <c r="E418479" s="11" t="s">
        <v>14</v>
      </c>
      <c r="F418479" s="9" t="s">
        <v>22</v>
      </c>
      <c r="G418479">
        <v>1</v>
      </c>
      <c r="J418479" s="7">
        <v>1.008</v>
      </c>
      <c r="K418479" s="11">
        <f t="shared" si="47"/>
        <v>2026</v>
      </c>
      <c r="L418479" t="s">
        <v>25</v>
      </c>
      <c r="M418479" t="s">
        <v>17</v>
      </c>
    </row>
    <row r="418480" spans="1:13" x14ac:dyDescent="0.25">
      <c r="A418480" s="6">
        <v>46133</v>
      </c>
      <c r="B418480" s="11">
        <f t="shared" si="50"/>
        <v>4</v>
      </c>
      <c r="C418480" s="11">
        <f t="shared" si="51"/>
        <v>17</v>
      </c>
      <c r="D418480" s="5" t="s">
        <v>13</v>
      </c>
      <c r="E418480" s="11" t="s">
        <v>14</v>
      </c>
      <c r="F418480" s="9" t="s">
        <v>22</v>
      </c>
      <c r="G418480">
        <v>1</v>
      </c>
      <c r="J418480" s="7">
        <v>11.19</v>
      </c>
      <c r="K418480" s="11">
        <f t="shared" si="47"/>
        <v>2026</v>
      </c>
      <c r="L418480" t="s">
        <v>25</v>
      </c>
      <c r="M418480" t="s">
        <v>17</v>
      </c>
    </row>
    <row r="418481" spans="1:13" x14ac:dyDescent="0.25">
      <c r="A418481" s="6">
        <v>46133</v>
      </c>
      <c r="B418481" s="11">
        <f t="shared" si="50"/>
        <v>4</v>
      </c>
      <c r="C418481" s="11">
        <f t="shared" si="51"/>
        <v>17</v>
      </c>
      <c r="D418481" s="5" t="s">
        <v>13</v>
      </c>
      <c r="E418481" s="11" t="s">
        <v>14</v>
      </c>
      <c r="F418481" s="9" t="s">
        <v>22</v>
      </c>
      <c r="G418481">
        <v>1</v>
      </c>
      <c r="J418481" s="7">
        <v>1.4279999999999999</v>
      </c>
      <c r="K418481" s="11">
        <f t="shared" si="47"/>
        <v>2026</v>
      </c>
      <c r="L418481" t="s">
        <v>25</v>
      </c>
      <c r="M418481" t="s">
        <v>17</v>
      </c>
    </row>
    <row r="418482" spans="1:13" x14ac:dyDescent="0.25">
      <c r="A418482" s="6">
        <v>46133</v>
      </c>
      <c r="B418482" s="11">
        <f t="shared" si="50"/>
        <v>4</v>
      </c>
      <c r="C418482" s="11">
        <f t="shared" si="51"/>
        <v>17</v>
      </c>
      <c r="D418482" s="5" t="s">
        <v>13</v>
      </c>
      <c r="E418482" s="11" t="s">
        <v>14</v>
      </c>
      <c r="F418482" s="9" t="s">
        <v>22</v>
      </c>
      <c r="G418482">
        <v>1</v>
      </c>
      <c r="J418482" s="7">
        <v>1.532</v>
      </c>
      <c r="K418482" s="11">
        <f t="shared" si="47"/>
        <v>2026</v>
      </c>
      <c r="L418482" t="s">
        <v>25</v>
      </c>
      <c r="M418482" t="s">
        <v>17</v>
      </c>
    </row>
    <row r="418483" spans="1:13" x14ac:dyDescent="0.25">
      <c r="A418483" s="6">
        <v>46133</v>
      </c>
      <c r="B418483" s="11">
        <f t="shared" si="50"/>
        <v>4</v>
      </c>
      <c r="C418483" s="11">
        <f t="shared" si="51"/>
        <v>17</v>
      </c>
      <c r="D418483" s="5" t="s">
        <v>13</v>
      </c>
      <c r="E418483" s="11" t="s">
        <v>14</v>
      </c>
      <c r="F418483" s="9" t="s">
        <v>22</v>
      </c>
      <c r="G418483">
        <v>1</v>
      </c>
      <c r="J418483" s="7">
        <v>5.0679999999999996</v>
      </c>
      <c r="K418483" s="11">
        <f t="shared" si="47"/>
        <v>2026</v>
      </c>
      <c r="L418483" t="s">
        <v>25</v>
      </c>
      <c r="M418483" t="s">
        <v>17</v>
      </c>
    </row>
    <row r="418484" spans="1:13" x14ac:dyDescent="0.25">
      <c r="A418484" s="6">
        <v>46133</v>
      </c>
      <c r="B418484" s="11">
        <f t="shared" si="50"/>
        <v>4</v>
      </c>
      <c r="C418484" s="11">
        <f t="shared" si="51"/>
        <v>17</v>
      </c>
      <c r="D418484" s="5" t="s">
        <v>13</v>
      </c>
      <c r="E418484" s="11" t="s">
        <v>14</v>
      </c>
      <c r="F418484" s="9" t="s">
        <v>22</v>
      </c>
      <c r="G418484">
        <v>1</v>
      </c>
      <c r="J418484" s="7">
        <v>6.282</v>
      </c>
      <c r="K418484" s="11">
        <f t="shared" si="47"/>
        <v>2026</v>
      </c>
      <c r="L418484" t="s">
        <v>25</v>
      </c>
      <c r="M418484" t="s">
        <v>17</v>
      </c>
    </row>
    <row r="418485" spans="1:13" x14ac:dyDescent="0.25">
      <c r="A418485" s="6">
        <v>46133</v>
      </c>
      <c r="B418485" s="11">
        <f t="shared" si="50"/>
        <v>4</v>
      </c>
      <c r="C418485" s="11">
        <f t="shared" si="51"/>
        <v>17</v>
      </c>
      <c r="D418485" s="5" t="s">
        <v>13</v>
      </c>
      <c r="E418485" s="11" t="s">
        <v>14</v>
      </c>
      <c r="F418485" s="9" t="s">
        <v>22</v>
      </c>
      <c r="G418485">
        <v>1</v>
      </c>
      <c r="J418485" s="7">
        <v>12.635999999999999</v>
      </c>
      <c r="K418485" s="11">
        <f t="shared" si="47"/>
        <v>2026</v>
      </c>
      <c r="L418485" t="s">
        <v>25</v>
      </c>
      <c r="M418485" t="s">
        <v>17</v>
      </c>
    </row>
    <row r="418486" spans="1:13" x14ac:dyDescent="0.25">
      <c r="A418486" s="6">
        <v>46133</v>
      </c>
      <c r="B418486" s="11">
        <f t="shared" si="50"/>
        <v>4</v>
      </c>
      <c r="C418486" s="11">
        <f t="shared" si="51"/>
        <v>17</v>
      </c>
      <c r="D418486" s="5" t="s">
        <v>13</v>
      </c>
      <c r="E418486" s="11" t="s">
        <v>14</v>
      </c>
      <c r="F418486" s="9" t="s">
        <v>22</v>
      </c>
      <c r="G418486">
        <v>1</v>
      </c>
      <c r="J418486" s="7">
        <v>1.92</v>
      </c>
      <c r="K418486" s="11">
        <f t="shared" si="47"/>
        <v>2026</v>
      </c>
      <c r="L418486" t="s">
        <v>25</v>
      </c>
      <c r="M418486" t="s">
        <v>17</v>
      </c>
    </row>
    <row r="418487" spans="1:13" x14ac:dyDescent="0.25">
      <c r="A418487" s="6">
        <v>46133</v>
      </c>
      <c r="B418487" s="11">
        <f t="shared" si="50"/>
        <v>4</v>
      </c>
      <c r="C418487" s="11">
        <f t="shared" si="51"/>
        <v>17</v>
      </c>
      <c r="D418487" s="5" t="s">
        <v>13</v>
      </c>
      <c r="E418487" s="11" t="s">
        <v>14</v>
      </c>
      <c r="F418487" s="9" t="s">
        <v>22</v>
      </c>
      <c r="G418487">
        <v>1</v>
      </c>
      <c r="J418487" s="7">
        <v>2.8319999999999999</v>
      </c>
      <c r="K418487" s="11">
        <f t="shared" si="47"/>
        <v>2026</v>
      </c>
      <c r="L418487" t="s">
        <v>25</v>
      </c>
      <c r="M418487" t="s">
        <v>17</v>
      </c>
    </row>
    <row r="418488" spans="1:13" x14ac:dyDescent="0.25">
      <c r="A418488" s="6">
        <v>46133.631944444445</v>
      </c>
      <c r="B418488" s="11">
        <f t="shared" si="50"/>
        <v>4</v>
      </c>
      <c r="C418488" s="11">
        <f t="shared" si="51"/>
        <v>17</v>
      </c>
      <c r="D418488" s="5" t="s">
        <v>13</v>
      </c>
      <c r="E418488" s="11" t="s">
        <v>14</v>
      </c>
      <c r="F418488" s="9" t="s">
        <v>22</v>
      </c>
      <c r="G418488">
        <v>1</v>
      </c>
      <c r="J418488" s="7">
        <v>9.0500000000000007</v>
      </c>
      <c r="K418488" s="11">
        <f t="shared" si="47"/>
        <v>2026</v>
      </c>
      <c r="L418488" t="s">
        <v>25</v>
      </c>
      <c r="M418488" t="s">
        <v>17</v>
      </c>
    </row>
    <row r="418489" spans="1:13" x14ac:dyDescent="0.25">
      <c r="A418489" s="6">
        <v>46133</v>
      </c>
      <c r="B418489" s="11">
        <f t="shared" si="50"/>
        <v>4</v>
      </c>
      <c r="C418489" s="11">
        <f t="shared" si="51"/>
        <v>17</v>
      </c>
      <c r="D418489" s="5" t="s">
        <v>13</v>
      </c>
      <c r="E418489" s="11" t="s">
        <v>14</v>
      </c>
      <c r="F418489" s="9" t="s">
        <v>22</v>
      </c>
      <c r="G418489">
        <v>1</v>
      </c>
      <c r="J418489" s="7">
        <v>5.6159999999999997</v>
      </c>
      <c r="K418489" s="11">
        <f t="shared" si="47"/>
        <v>2026</v>
      </c>
      <c r="L418489" t="s">
        <v>25</v>
      </c>
      <c r="M418489" t="s">
        <v>17</v>
      </c>
    </row>
    <row r="418490" spans="1:13" x14ac:dyDescent="0.25">
      <c r="A418490" s="6">
        <v>46133</v>
      </c>
      <c r="B418490" s="11">
        <f t="shared" si="50"/>
        <v>4</v>
      </c>
      <c r="C418490" s="11">
        <f t="shared" si="51"/>
        <v>17</v>
      </c>
      <c r="D418490" s="5" t="s">
        <v>13</v>
      </c>
      <c r="E418490" s="11" t="s">
        <v>14</v>
      </c>
      <c r="F418490" s="9" t="s">
        <v>22</v>
      </c>
      <c r="G418490">
        <v>1</v>
      </c>
      <c r="J418490" s="7">
        <v>13.45</v>
      </c>
      <c r="K418490" s="11">
        <f t="shared" si="47"/>
        <v>2026</v>
      </c>
      <c r="L418490" t="s">
        <v>25</v>
      </c>
      <c r="M418490" t="s">
        <v>17</v>
      </c>
    </row>
    <row r="418491" spans="1:13" x14ac:dyDescent="0.25">
      <c r="A418491" s="6">
        <v>46133</v>
      </c>
      <c r="B418491" s="11">
        <f t="shared" si="50"/>
        <v>4</v>
      </c>
      <c r="C418491" s="11">
        <f t="shared" si="51"/>
        <v>17</v>
      </c>
      <c r="D418491" s="5" t="s">
        <v>13</v>
      </c>
      <c r="E418491" s="11" t="s">
        <v>14</v>
      </c>
      <c r="F418491" s="9" t="s">
        <v>22</v>
      </c>
      <c r="G418491">
        <v>1</v>
      </c>
      <c r="J418491" s="7">
        <v>6.282</v>
      </c>
      <c r="K418491" s="11">
        <f t="shared" si="47"/>
        <v>2026</v>
      </c>
      <c r="L418491" t="s">
        <v>25</v>
      </c>
      <c r="M418491" t="s">
        <v>17</v>
      </c>
    </row>
    <row r="418492" spans="1:13" x14ac:dyDescent="0.25">
      <c r="A418492" s="6">
        <v>46134.041666666664</v>
      </c>
      <c r="B418492" s="11">
        <f t="shared" si="50"/>
        <v>4</v>
      </c>
      <c r="C418492" s="11">
        <f t="shared" si="51"/>
        <v>17</v>
      </c>
      <c r="D418492" s="5" t="s">
        <v>18</v>
      </c>
      <c r="E418492" s="11" t="s">
        <v>14</v>
      </c>
      <c r="F418492" s="9" t="s">
        <v>15</v>
      </c>
      <c r="G418492">
        <v>1</v>
      </c>
      <c r="J418492" s="7">
        <v>3.851</v>
      </c>
      <c r="K418492" s="11">
        <f t="shared" si="47"/>
        <v>2026</v>
      </c>
      <c r="L418492" t="s">
        <v>25</v>
      </c>
      <c r="M418492" t="s">
        <v>17</v>
      </c>
    </row>
    <row r="418493" spans="1:13" x14ac:dyDescent="0.25">
      <c r="A418493" s="6">
        <v>46134.041666666664</v>
      </c>
      <c r="B418493" s="11">
        <f t="shared" si="50"/>
        <v>4</v>
      </c>
      <c r="C418493" s="11">
        <f t="shared" si="51"/>
        <v>17</v>
      </c>
      <c r="D418493" s="5" t="s">
        <v>18</v>
      </c>
      <c r="E418493" s="11" t="s">
        <v>14</v>
      </c>
      <c r="F418493" s="9" t="s">
        <v>15</v>
      </c>
      <c r="G418493">
        <v>1</v>
      </c>
      <c r="J418493" s="7">
        <v>3.097</v>
      </c>
      <c r="K418493" s="11">
        <f t="shared" si="47"/>
        <v>2026</v>
      </c>
      <c r="L418493" t="s">
        <v>25</v>
      </c>
      <c r="M418493" t="s">
        <v>17</v>
      </c>
    </row>
    <row r="418494" spans="1:13" x14ac:dyDescent="0.25">
      <c r="A418494" s="6">
        <v>46133</v>
      </c>
      <c r="B418494" s="11">
        <f t="shared" si="50"/>
        <v>4</v>
      </c>
      <c r="C418494" s="11">
        <f t="shared" si="51"/>
        <v>17</v>
      </c>
      <c r="D418494" s="5" t="s">
        <v>21</v>
      </c>
      <c r="E418494" s="11" t="s">
        <v>14</v>
      </c>
      <c r="F418494" s="9" t="s">
        <v>22</v>
      </c>
      <c r="G418494">
        <v>1</v>
      </c>
      <c r="J418494" s="7">
        <v>1.583</v>
      </c>
      <c r="K418494" s="11">
        <f t="shared" si="47"/>
        <v>2026</v>
      </c>
      <c r="L418494" t="s">
        <v>25</v>
      </c>
      <c r="M418494" t="s">
        <v>17</v>
      </c>
    </row>
    <row r="418495" spans="1:13" x14ac:dyDescent="0.25">
      <c r="A418495" s="6">
        <v>46134.041666666664</v>
      </c>
      <c r="B418495" s="11">
        <f t="shared" si="50"/>
        <v>4</v>
      </c>
      <c r="C418495" s="11">
        <f t="shared" si="51"/>
        <v>17</v>
      </c>
      <c r="D418495" s="5" t="s">
        <v>18</v>
      </c>
      <c r="E418495" s="11" t="s">
        <v>14</v>
      </c>
      <c r="F418495" s="9" t="s">
        <v>15</v>
      </c>
      <c r="G418495">
        <v>1</v>
      </c>
      <c r="J418495" s="7">
        <v>0.246</v>
      </c>
      <c r="K418495" s="11">
        <f t="shared" si="47"/>
        <v>2026</v>
      </c>
      <c r="L418495" t="s">
        <v>25</v>
      </c>
      <c r="M418495" t="s">
        <v>17</v>
      </c>
    </row>
    <row r="418496" spans="1:13" x14ac:dyDescent="0.25">
      <c r="A418496" s="6">
        <v>46134.041666666664</v>
      </c>
      <c r="B418496" s="11">
        <f t="shared" si="50"/>
        <v>4</v>
      </c>
      <c r="C418496" s="11">
        <f t="shared" si="51"/>
        <v>17</v>
      </c>
      <c r="D418496" s="5" t="s">
        <v>18</v>
      </c>
      <c r="E418496" s="11" t="s">
        <v>14</v>
      </c>
      <c r="F418496" s="9" t="s">
        <v>15</v>
      </c>
      <c r="G418496">
        <v>1</v>
      </c>
      <c r="J418496" s="7">
        <v>0.25600000000000001</v>
      </c>
      <c r="K418496" s="11">
        <f t="shared" si="47"/>
        <v>2026</v>
      </c>
      <c r="L418496" t="s">
        <v>25</v>
      </c>
      <c r="M418496" t="s">
        <v>17</v>
      </c>
    </row>
    <row r="418497" spans="1:13" x14ac:dyDescent="0.25">
      <c r="A418497" s="6">
        <v>46134.041666666664</v>
      </c>
      <c r="B418497" s="11">
        <f t="shared" si="50"/>
        <v>4</v>
      </c>
      <c r="C418497" s="11">
        <f t="shared" si="51"/>
        <v>17</v>
      </c>
      <c r="D418497" s="5" t="s">
        <v>18</v>
      </c>
      <c r="E418497" s="11" t="s">
        <v>14</v>
      </c>
      <c r="F418497" s="9" t="s">
        <v>15</v>
      </c>
      <c r="G418497">
        <v>1</v>
      </c>
      <c r="J418497" s="7">
        <v>2.9780000000000002</v>
      </c>
      <c r="K418497" s="11">
        <f t="shared" si="47"/>
        <v>2026</v>
      </c>
      <c r="L418497" t="s">
        <v>25</v>
      </c>
      <c r="M418497" t="s">
        <v>17</v>
      </c>
    </row>
    <row r="418498" spans="1:13" x14ac:dyDescent="0.25">
      <c r="A418498" s="6">
        <v>46134.041666666664</v>
      </c>
      <c r="B418498" s="11">
        <f t="shared" si="50"/>
        <v>4</v>
      </c>
      <c r="C418498" s="11">
        <f t="shared" si="51"/>
        <v>17</v>
      </c>
      <c r="D418498" s="5" t="s">
        <v>18</v>
      </c>
      <c r="E418498" s="11" t="s">
        <v>14</v>
      </c>
      <c r="F418498" s="9" t="s">
        <v>15</v>
      </c>
      <c r="G418498">
        <v>1</v>
      </c>
      <c r="J418498" s="7">
        <v>0.28599999999999998</v>
      </c>
      <c r="K418498" s="11">
        <f t="shared" si="47"/>
        <v>2026</v>
      </c>
      <c r="L418498" t="s">
        <v>25</v>
      </c>
      <c r="M418498" t="s">
        <v>17</v>
      </c>
    </row>
    <row r="418499" spans="1:13" x14ac:dyDescent="0.25">
      <c r="A418499" s="6">
        <v>46136</v>
      </c>
      <c r="B418499" s="11">
        <f t="shared" si="50"/>
        <v>4</v>
      </c>
      <c r="C418499" s="11">
        <f t="shared" si="51"/>
        <v>17</v>
      </c>
      <c r="D418499" s="5" t="s">
        <v>20</v>
      </c>
      <c r="E418499" s="11" t="s">
        <v>14</v>
      </c>
      <c r="F418499" s="9" t="s">
        <v>22</v>
      </c>
      <c r="G418499">
        <v>1</v>
      </c>
      <c r="J418499" s="7">
        <v>4.032</v>
      </c>
      <c r="K418499" s="11">
        <f t="shared" si="47"/>
        <v>2026</v>
      </c>
      <c r="L418499" t="s">
        <v>25</v>
      </c>
      <c r="M418499" t="s">
        <v>17</v>
      </c>
    </row>
    <row r="418500" spans="1:13" x14ac:dyDescent="0.25">
      <c r="A418500" s="6">
        <v>46136.565972222219</v>
      </c>
      <c r="B418500" s="11">
        <f t="shared" si="50"/>
        <v>4</v>
      </c>
      <c r="C418500" s="11">
        <f t="shared" si="51"/>
        <v>17</v>
      </c>
      <c r="D418500" s="5" t="s">
        <v>13</v>
      </c>
      <c r="E418500" s="11" t="s">
        <v>14</v>
      </c>
      <c r="F418500" s="9" t="s">
        <v>22</v>
      </c>
      <c r="G418500">
        <v>1</v>
      </c>
      <c r="J418500" s="7">
        <v>0.38400000000000001</v>
      </c>
      <c r="K418500" s="11">
        <f t="shared" si="47"/>
        <v>2026</v>
      </c>
      <c r="L418500" t="s">
        <v>25</v>
      </c>
      <c r="M418500" t="s">
        <v>17</v>
      </c>
    </row>
    <row r="418501" spans="1:13" x14ac:dyDescent="0.25">
      <c r="A418501" s="6">
        <v>46136</v>
      </c>
      <c r="B418501" s="11">
        <f t="shared" si="50"/>
        <v>4</v>
      </c>
      <c r="C418501" s="11">
        <f t="shared" si="51"/>
        <v>17</v>
      </c>
      <c r="D418501" s="5" t="s">
        <v>18</v>
      </c>
      <c r="E418501" s="11" t="s">
        <v>14</v>
      </c>
      <c r="F418501" s="9" t="s">
        <v>22</v>
      </c>
      <c r="G418501">
        <v>1</v>
      </c>
      <c r="J418501" s="7">
        <v>2.1120000000000001</v>
      </c>
      <c r="K418501" s="11">
        <f t="shared" si="47"/>
        <v>2026</v>
      </c>
      <c r="L418501" t="s">
        <v>25</v>
      </c>
      <c r="M418501" t="s">
        <v>17</v>
      </c>
    </row>
    <row r="418502" spans="1:13" x14ac:dyDescent="0.25">
      <c r="A418502" s="6">
        <v>46134.447916666664</v>
      </c>
      <c r="B418502" s="11">
        <f t="shared" si="50"/>
        <v>4</v>
      </c>
      <c r="C418502" s="11">
        <f t="shared" si="51"/>
        <v>17</v>
      </c>
      <c r="D418502" s="5" t="s">
        <v>18</v>
      </c>
      <c r="E418502" s="11" t="s">
        <v>14</v>
      </c>
      <c r="F418502" s="9" t="s">
        <v>15</v>
      </c>
      <c r="G418502">
        <v>1</v>
      </c>
      <c r="J418502" s="7">
        <v>0.90900000000000003</v>
      </c>
      <c r="K418502" s="11">
        <f t="shared" si="47"/>
        <v>2026</v>
      </c>
      <c r="L418502" t="s">
        <v>25</v>
      </c>
      <c r="M418502" t="s">
        <v>17</v>
      </c>
    </row>
    <row r="418503" spans="1:13" x14ac:dyDescent="0.25">
      <c r="A418503" s="6">
        <v>46136</v>
      </c>
      <c r="B418503" s="11">
        <f t="shared" si="50"/>
        <v>4</v>
      </c>
      <c r="C418503" s="11">
        <f t="shared" si="51"/>
        <v>17</v>
      </c>
      <c r="D418503" s="5" t="s">
        <v>13</v>
      </c>
      <c r="E418503" s="11" t="s">
        <v>14</v>
      </c>
      <c r="F418503" s="9" t="s">
        <v>22</v>
      </c>
      <c r="G418503">
        <v>1</v>
      </c>
      <c r="J418503" s="7">
        <v>4.4169999999999998</v>
      </c>
      <c r="K418503" s="11">
        <f t="shared" si="47"/>
        <v>2026</v>
      </c>
      <c r="L418503" t="s">
        <v>25</v>
      </c>
      <c r="M418503" t="s">
        <v>17</v>
      </c>
    </row>
    <row r="418504" spans="1:13" x14ac:dyDescent="0.25">
      <c r="A418504" s="6">
        <v>46136</v>
      </c>
      <c r="B418504" s="11">
        <f t="shared" si="50"/>
        <v>4</v>
      </c>
      <c r="C418504" s="11">
        <f t="shared" si="51"/>
        <v>17</v>
      </c>
      <c r="D418504" s="5" t="s">
        <v>13</v>
      </c>
      <c r="E418504" s="11" t="s">
        <v>14</v>
      </c>
      <c r="F418504" s="9" t="s">
        <v>22</v>
      </c>
      <c r="G418504">
        <v>1</v>
      </c>
      <c r="J418504" s="7">
        <v>3.9140000000000001</v>
      </c>
      <c r="K418504" s="11">
        <f t="shared" si="47"/>
        <v>2026</v>
      </c>
      <c r="L418504" t="s">
        <v>25</v>
      </c>
      <c r="M418504" t="s">
        <v>17</v>
      </c>
    </row>
    <row r="418505" spans="1:13" x14ac:dyDescent="0.25">
      <c r="A418505" s="6">
        <v>46136.311111111114</v>
      </c>
      <c r="B418505" s="11">
        <f t="shared" si="50"/>
        <v>4</v>
      </c>
      <c r="C418505" s="11">
        <f t="shared" si="51"/>
        <v>17</v>
      </c>
      <c r="D418505" s="5" t="s">
        <v>18</v>
      </c>
      <c r="E418505" s="11" t="s">
        <v>14</v>
      </c>
      <c r="F418505" s="9" t="s">
        <v>22</v>
      </c>
      <c r="G418505">
        <v>1</v>
      </c>
      <c r="J418505" s="7">
        <v>3.9380000000000002</v>
      </c>
      <c r="K418505" s="11">
        <f t="shared" si="47"/>
        <v>2026</v>
      </c>
      <c r="L418505" t="s">
        <v>25</v>
      </c>
      <c r="M418505" t="s">
        <v>17</v>
      </c>
    </row>
    <row r="418506" spans="1:13" x14ac:dyDescent="0.25">
      <c r="A418506" s="6">
        <v>46133</v>
      </c>
      <c r="B418506" s="11">
        <f t="shared" si="50"/>
        <v>4</v>
      </c>
      <c r="C418506" s="11">
        <f t="shared" si="51"/>
        <v>17</v>
      </c>
      <c r="D418506" s="5" t="s">
        <v>21</v>
      </c>
      <c r="E418506" s="11" t="s">
        <v>14</v>
      </c>
      <c r="F418506" s="9" t="s">
        <v>22</v>
      </c>
      <c r="G418506">
        <v>1</v>
      </c>
      <c r="J418506" s="7">
        <v>5.4939999999999998</v>
      </c>
      <c r="K418506" s="11">
        <f t="shared" si="47"/>
        <v>2026</v>
      </c>
      <c r="L418506" t="s">
        <v>25</v>
      </c>
      <c r="M418506" t="s">
        <v>17</v>
      </c>
    </row>
    <row r="418507" spans="1:13" x14ac:dyDescent="0.25">
      <c r="A418507" s="6">
        <v>46137</v>
      </c>
      <c r="B418507" s="11">
        <f t="shared" si="50"/>
        <v>4</v>
      </c>
      <c r="C418507" s="11">
        <f t="shared" si="51"/>
        <v>17</v>
      </c>
      <c r="D418507" s="5" t="s">
        <v>23</v>
      </c>
      <c r="E418507" s="11" t="s">
        <v>14</v>
      </c>
      <c r="F418507" s="9" t="s">
        <v>22</v>
      </c>
      <c r="G418507">
        <v>1</v>
      </c>
      <c r="J418507" s="7">
        <v>4.3780000000000001</v>
      </c>
      <c r="K418507" s="11">
        <f t="shared" si="47"/>
        <v>2026</v>
      </c>
      <c r="L418507" t="s">
        <v>25</v>
      </c>
      <c r="M418507" t="s">
        <v>17</v>
      </c>
    </row>
    <row r="418508" spans="1:13" x14ac:dyDescent="0.25">
      <c r="A418508" s="6">
        <v>46137</v>
      </c>
      <c r="B418508" s="11">
        <f t="shared" si="50"/>
        <v>4</v>
      </c>
      <c r="C418508" s="11">
        <f t="shared" si="51"/>
        <v>17</v>
      </c>
      <c r="D418508" s="5" t="s">
        <v>18</v>
      </c>
      <c r="E418508" s="11" t="s">
        <v>14</v>
      </c>
      <c r="F418508" s="9" t="s">
        <v>22</v>
      </c>
      <c r="G418508">
        <v>1</v>
      </c>
      <c r="J418508" s="7">
        <v>13.044</v>
      </c>
      <c r="K418508" s="11">
        <f t="shared" si="47"/>
        <v>2026</v>
      </c>
      <c r="L418508" t="s">
        <v>25</v>
      </c>
      <c r="M418508" t="s">
        <v>17</v>
      </c>
    </row>
    <row r="418509" spans="1:13" x14ac:dyDescent="0.25">
      <c r="A418509" s="6">
        <v>46133.208333333336</v>
      </c>
      <c r="B418509" s="11">
        <f t="shared" si="50"/>
        <v>4</v>
      </c>
      <c r="C418509" s="11">
        <f t="shared" si="51"/>
        <v>17</v>
      </c>
      <c r="D418509" s="5" t="s">
        <v>13</v>
      </c>
      <c r="E418509" s="11" t="s">
        <v>14</v>
      </c>
      <c r="F418509" s="9" t="s">
        <v>15</v>
      </c>
      <c r="G418509">
        <v>1</v>
      </c>
      <c r="J418509" s="7">
        <v>1.5680000000000001</v>
      </c>
      <c r="K418509" s="11">
        <f t="shared" si="47"/>
        <v>2026</v>
      </c>
      <c r="L418509" t="s">
        <v>25</v>
      </c>
      <c r="M418509" t="s">
        <v>17</v>
      </c>
    </row>
    <row r="418510" spans="1:13" x14ac:dyDescent="0.25">
      <c r="A418510" s="6">
        <v>46133.208333333336</v>
      </c>
      <c r="B418510" s="11">
        <f t="shared" si="50"/>
        <v>4</v>
      </c>
      <c r="C418510" s="11">
        <f t="shared" si="51"/>
        <v>17</v>
      </c>
      <c r="D418510" s="5" t="s">
        <v>13</v>
      </c>
      <c r="E418510" s="11" t="s">
        <v>14</v>
      </c>
      <c r="F418510" s="9" t="s">
        <v>15</v>
      </c>
      <c r="G418510">
        <v>1</v>
      </c>
      <c r="J418510" s="7">
        <v>6.6050000000000004</v>
      </c>
      <c r="K418510" s="11">
        <f t="shared" si="47"/>
        <v>2026</v>
      </c>
      <c r="L418510" t="s">
        <v>25</v>
      </c>
      <c r="M418510" t="s">
        <v>17</v>
      </c>
    </row>
    <row r="418511" spans="1:13" x14ac:dyDescent="0.25">
      <c r="A418511" s="6">
        <v>46133.208333333336</v>
      </c>
      <c r="B418511" s="11">
        <f t="shared" si="50"/>
        <v>4</v>
      </c>
      <c r="C418511" s="11">
        <f t="shared" si="51"/>
        <v>17</v>
      </c>
      <c r="D418511" s="5" t="s">
        <v>13</v>
      </c>
      <c r="E418511" s="11" t="s">
        <v>14</v>
      </c>
      <c r="F418511" s="9" t="s">
        <v>15</v>
      </c>
      <c r="G418511">
        <v>1</v>
      </c>
      <c r="J418511" s="7">
        <v>3.0739999999999998</v>
      </c>
      <c r="K418511" s="11">
        <f t="shared" si="47"/>
        <v>2026</v>
      </c>
      <c r="L418511" t="s">
        <v>25</v>
      </c>
      <c r="M418511" t="s">
        <v>17</v>
      </c>
    </row>
    <row r="418512" spans="1:13" x14ac:dyDescent="0.25">
      <c r="A418512" s="6">
        <v>46133.208333333336</v>
      </c>
      <c r="B418512" s="11">
        <f t="shared" si="50"/>
        <v>4</v>
      </c>
      <c r="C418512" s="11">
        <f t="shared" si="51"/>
        <v>17</v>
      </c>
      <c r="D418512" s="5" t="s">
        <v>13</v>
      </c>
      <c r="E418512" s="11" t="s">
        <v>14</v>
      </c>
      <c r="F418512" s="9" t="s">
        <v>15</v>
      </c>
      <c r="G418512">
        <v>1</v>
      </c>
      <c r="J418512" s="7">
        <v>2.8079999999999998</v>
      </c>
      <c r="K418512" s="11">
        <f t="shared" si="47"/>
        <v>2026</v>
      </c>
      <c r="L418512" t="s">
        <v>25</v>
      </c>
      <c r="M418512" t="s">
        <v>17</v>
      </c>
    </row>
    <row r="418513" spans="1:13" x14ac:dyDescent="0.25">
      <c r="A418513" s="6">
        <v>46133.208333333336</v>
      </c>
      <c r="B418513" s="11">
        <f t="shared" si="50"/>
        <v>4</v>
      </c>
      <c r="C418513" s="11">
        <f t="shared" si="51"/>
        <v>17</v>
      </c>
      <c r="D418513" s="5" t="s">
        <v>13</v>
      </c>
      <c r="E418513" s="11" t="s">
        <v>14</v>
      </c>
      <c r="F418513" s="9" t="s">
        <v>15</v>
      </c>
      <c r="G418513">
        <v>1</v>
      </c>
      <c r="J418513" s="7">
        <v>1.528</v>
      </c>
      <c r="K418513" s="11">
        <f t="shared" si="47"/>
        <v>2026</v>
      </c>
      <c r="L418513" t="s">
        <v>25</v>
      </c>
      <c r="M418513" t="s">
        <v>17</v>
      </c>
    </row>
    <row r="418514" spans="1:13" x14ac:dyDescent="0.25">
      <c r="A418514" s="6">
        <v>46134.675694444442</v>
      </c>
      <c r="B418514" s="11">
        <f t="shared" si="50"/>
        <v>4</v>
      </c>
      <c r="C418514" s="11">
        <f t="shared" si="51"/>
        <v>17</v>
      </c>
      <c r="D418514" s="5" t="s">
        <v>18</v>
      </c>
      <c r="E418514" s="11" t="s">
        <v>14</v>
      </c>
      <c r="F418514" s="9" t="s">
        <v>22</v>
      </c>
      <c r="G418514">
        <v>1</v>
      </c>
      <c r="J418514" s="7">
        <v>1.73</v>
      </c>
      <c r="K418514" s="11">
        <f t="shared" si="47"/>
        <v>2026</v>
      </c>
      <c r="L418514" t="s">
        <v>25</v>
      </c>
      <c r="M418514" t="s">
        <v>17</v>
      </c>
    </row>
    <row r="418515" spans="1:13" x14ac:dyDescent="0.25">
      <c r="A418515" s="6">
        <v>46134.833333333336</v>
      </c>
      <c r="B418515" s="11">
        <f t="shared" si="50"/>
        <v>4</v>
      </c>
      <c r="C418515" s="11">
        <f t="shared" si="51"/>
        <v>17</v>
      </c>
      <c r="D418515" s="5" t="s">
        <v>13</v>
      </c>
      <c r="E418515" s="11" t="s">
        <v>14</v>
      </c>
      <c r="F418515" s="9" t="s">
        <v>22</v>
      </c>
      <c r="G418515">
        <v>1</v>
      </c>
      <c r="J418515" s="7">
        <v>1.512</v>
      </c>
      <c r="K418515" s="11">
        <f t="shared" si="47"/>
        <v>2026</v>
      </c>
      <c r="L418515" t="s">
        <v>25</v>
      </c>
      <c r="M418515" t="s">
        <v>17</v>
      </c>
    </row>
    <row r="418516" spans="1:13" x14ac:dyDescent="0.25">
      <c r="A418516" s="6">
        <v>46131</v>
      </c>
      <c r="B418516" s="11">
        <f t="shared" si="50"/>
        <v>4</v>
      </c>
      <c r="C418516" s="11">
        <f t="shared" si="51"/>
        <v>17</v>
      </c>
      <c r="D418516" s="5" t="s">
        <v>18</v>
      </c>
      <c r="E418516" s="11" t="s">
        <v>14</v>
      </c>
      <c r="F418516" s="9" t="s">
        <v>22</v>
      </c>
      <c r="G418516">
        <v>1</v>
      </c>
      <c r="J418516" s="7">
        <v>1.5089999999999999</v>
      </c>
      <c r="K418516" s="11">
        <f t="shared" si="47"/>
        <v>2026</v>
      </c>
      <c r="L418516" t="s">
        <v>25</v>
      </c>
      <c r="M418516" t="s">
        <v>17</v>
      </c>
    </row>
    <row r="418517" spans="1:13" x14ac:dyDescent="0.25">
      <c r="A418517" s="6">
        <v>46133.083333333336</v>
      </c>
      <c r="B418517" s="11">
        <f t="shared" si="50"/>
        <v>4</v>
      </c>
      <c r="C418517" s="11">
        <f t="shared" si="51"/>
        <v>17</v>
      </c>
      <c r="D418517" s="5" t="s">
        <v>18</v>
      </c>
      <c r="E418517" s="11" t="s">
        <v>14</v>
      </c>
      <c r="F418517" s="9" t="s">
        <v>15</v>
      </c>
      <c r="G418517">
        <v>1</v>
      </c>
      <c r="J418517" s="7">
        <v>3.13</v>
      </c>
      <c r="K418517" s="11">
        <f t="shared" si="47"/>
        <v>2026</v>
      </c>
      <c r="L418517" t="s">
        <v>25</v>
      </c>
      <c r="M418517" t="s">
        <v>17</v>
      </c>
    </row>
    <row r="418518" spans="1:13" x14ac:dyDescent="0.25">
      <c r="A418518" s="6">
        <v>46134.833333333336</v>
      </c>
      <c r="B418518" s="11">
        <f t="shared" si="50"/>
        <v>4</v>
      </c>
      <c r="C418518" s="11">
        <f t="shared" si="51"/>
        <v>17</v>
      </c>
      <c r="D418518" s="5" t="s">
        <v>13</v>
      </c>
      <c r="E418518" s="11" t="s">
        <v>14</v>
      </c>
      <c r="F418518" s="9" t="s">
        <v>15</v>
      </c>
      <c r="G418518">
        <v>1</v>
      </c>
      <c r="J418518" s="7">
        <v>20.553000000000001</v>
      </c>
      <c r="K418518" s="11">
        <f t="shared" si="47"/>
        <v>2026</v>
      </c>
      <c r="L418518" t="s">
        <v>25</v>
      </c>
      <c r="M418518" t="s">
        <v>17</v>
      </c>
    </row>
    <row r="418519" spans="1:13" x14ac:dyDescent="0.25">
      <c r="A418519" s="6">
        <v>46131.291666666664</v>
      </c>
      <c r="B418519" s="11">
        <f t="shared" si="50"/>
        <v>4</v>
      </c>
      <c r="C418519" s="11">
        <f t="shared" si="51"/>
        <v>17</v>
      </c>
      <c r="D418519" s="5" t="s">
        <v>13</v>
      </c>
      <c r="E418519" s="11" t="s">
        <v>14</v>
      </c>
      <c r="F418519" s="9" t="s">
        <v>15</v>
      </c>
      <c r="G418519">
        <v>1</v>
      </c>
      <c r="J418519" s="7">
        <v>9.2799999999999994</v>
      </c>
      <c r="K418519" s="11">
        <f t="shared" si="47"/>
        <v>2026</v>
      </c>
      <c r="L418519" t="s">
        <v>25</v>
      </c>
      <c r="M418519" t="s">
        <v>17</v>
      </c>
    </row>
    <row r="418520" spans="1:13" x14ac:dyDescent="0.25">
      <c r="A418520" s="6">
        <v>46134.833333333336</v>
      </c>
      <c r="B418520" s="11">
        <f t="shared" si="50"/>
        <v>4</v>
      </c>
      <c r="C418520" s="11">
        <f t="shared" si="51"/>
        <v>17</v>
      </c>
      <c r="D418520" s="5" t="s">
        <v>18</v>
      </c>
      <c r="E418520" s="11" t="s">
        <v>14</v>
      </c>
      <c r="F418520" s="9" t="s">
        <v>15</v>
      </c>
      <c r="G418520">
        <v>1</v>
      </c>
      <c r="J418520" s="7">
        <v>4.4740000000000002</v>
      </c>
      <c r="K418520" s="11">
        <f t="shared" si="47"/>
        <v>2026</v>
      </c>
      <c r="L418520" t="s">
        <v>25</v>
      </c>
      <c r="M418520" t="s">
        <v>17</v>
      </c>
    </row>
    <row r="418521" spans="1:13" x14ac:dyDescent="0.25">
      <c r="A418521" s="6">
        <v>46134.833333333336</v>
      </c>
      <c r="B418521" s="11">
        <f t="shared" si="50"/>
        <v>4</v>
      </c>
      <c r="C418521" s="11">
        <f t="shared" si="51"/>
        <v>17</v>
      </c>
      <c r="D418521" s="5" t="s">
        <v>18</v>
      </c>
      <c r="E418521" s="11" t="s">
        <v>14</v>
      </c>
      <c r="F418521" s="9" t="s">
        <v>15</v>
      </c>
      <c r="G418521">
        <v>1</v>
      </c>
      <c r="J418521" s="7">
        <v>1.02</v>
      </c>
      <c r="K418521" s="11">
        <f t="shared" si="47"/>
        <v>2026</v>
      </c>
      <c r="L418521" t="s">
        <v>25</v>
      </c>
      <c r="M418521" t="s">
        <v>17</v>
      </c>
    </row>
    <row r="418522" spans="1:13" x14ac:dyDescent="0.25">
      <c r="A418522" s="6">
        <v>46134.833333333336</v>
      </c>
      <c r="B418522" s="11">
        <f t="shared" si="50"/>
        <v>4</v>
      </c>
      <c r="C418522" s="11">
        <f t="shared" si="51"/>
        <v>17</v>
      </c>
      <c r="D418522" s="5" t="s">
        <v>13</v>
      </c>
      <c r="E418522" s="11" t="s">
        <v>14</v>
      </c>
      <c r="F418522" s="9" t="s">
        <v>15</v>
      </c>
      <c r="G418522">
        <v>1</v>
      </c>
      <c r="J418522" s="7">
        <v>7.008</v>
      </c>
      <c r="K418522" s="11">
        <f t="shared" si="47"/>
        <v>2026</v>
      </c>
      <c r="L418522" t="s">
        <v>25</v>
      </c>
      <c r="M418522" t="s">
        <v>17</v>
      </c>
    </row>
    <row r="418523" spans="1:13" x14ac:dyDescent="0.25">
      <c r="A418523" s="6">
        <v>46134.833333333336</v>
      </c>
      <c r="B418523" s="11">
        <f t="shared" si="50"/>
        <v>4</v>
      </c>
      <c r="C418523" s="11">
        <f t="shared" si="51"/>
        <v>17</v>
      </c>
      <c r="D418523" s="5" t="s">
        <v>13</v>
      </c>
      <c r="E418523" s="11" t="s">
        <v>14</v>
      </c>
      <c r="F418523" s="9" t="s">
        <v>15</v>
      </c>
      <c r="G418523">
        <v>1</v>
      </c>
      <c r="J418523" s="7">
        <v>13.536</v>
      </c>
      <c r="K418523" s="11">
        <f t="shared" si="47"/>
        <v>2026</v>
      </c>
      <c r="L418523" t="s">
        <v>25</v>
      </c>
      <c r="M418523" t="s">
        <v>17</v>
      </c>
    </row>
    <row r="418524" spans="1:13" x14ac:dyDescent="0.25">
      <c r="A418524" s="6">
        <v>46134.447916666664</v>
      </c>
      <c r="B418524" s="11">
        <f t="shared" si="50"/>
        <v>4</v>
      </c>
      <c r="C418524" s="11">
        <f t="shared" si="51"/>
        <v>17</v>
      </c>
      <c r="D418524" s="5" t="s">
        <v>13</v>
      </c>
      <c r="E418524" s="11" t="s">
        <v>14</v>
      </c>
      <c r="F418524" s="9" t="s">
        <v>15</v>
      </c>
      <c r="G418524">
        <v>1</v>
      </c>
      <c r="J418524" s="7">
        <v>16.248999999999999</v>
      </c>
      <c r="K418524" s="11">
        <f t="shared" si="47"/>
        <v>2026</v>
      </c>
      <c r="L418524" t="s">
        <v>25</v>
      </c>
      <c r="M418524" t="s">
        <v>17</v>
      </c>
    </row>
    <row r="418525" spans="1:13" x14ac:dyDescent="0.25">
      <c r="A418525" s="6">
        <v>46134.447916666664</v>
      </c>
      <c r="B418525" s="11">
        <f t="shared" si="50"/>
        <v>4</v>
      </c>
      <c r="C418525" s="11">
        <f t="shared" si="51"/>
        <v>17</v>
      </c>
      <c r="D418525" s="5" t="s">
        <v>18</v>
      </c>
      <c r="E418525" s="11" t="s">
        <v>14</v>
      </c>
      <c r="F418525" s="9" t="s">
        <v>15</v>
      </c>
      <c r="G418525">
        <v>1</v>
      </c>
      <c r="J418525" s="7">
        <v>1.69</v>
      </c>
      <c r="K418525" s="11">
        <f t="shared" ref="K418525:K418588" si="52">YEAR(A418525)</f>
        <v>2026</v>
      </c>
      <c r="L418525" t="s">
        <v>25</v>
      </c>
      <c r="M418525" t="s">
        <v>17</v>
      </c>
    </row>
    <row r="418526" spans="1:13" x14ac:dyDescent="0.25">
      <c r="A418526" s="6">
        <v>46134.447916666664</v>
      </c>
      <c r="B418526" s="11">
        <f t="shared" si="50"/>
        <v>4</v>
      </c>
      <c r="C418526" s="11">
        <f t="shared" si="51"/>
        <v>17</v>
      </c>
      <c r="D418526" s="5" t="s">
        <v>13</v>
      </c>
      <c r="E418526" s="11" t="s">
        <v>14</v>
      </c>
      <c r="F418526" s="9" t="s">
        <v>15</v>
      </c>
      <c r="G418526">
        <v>1</v>
      </c>
      <c r="J418526" s="7">
        <v>17.946999999999999</v>
      </c>
      <c r="K418526" s="11">
        <f t="shared" si="52"/>
        <v>2026</v>
      </c>
      <c r="L418526" t="s">
        <v>25</v>
      </c>
      <c r="M418526" t="s">
        <v>17</v>
      </c>
    </row>
    <row r="418527" spans="1:13" x14ac:dyDescent="0.25">
      <c r="A418527" s="6">
        <v>46133</v>
      </c>
      <c r="B418527" s="11">
        <f t="shared" si="50"/>
        <v>4</v>
      </c>
      <c r="C418527" s="11">
        <f t="shared" si="51"/>
        <v>17</v>
      </c>
      <c r="D418527" s="5" t="s">
        <v>13</v>
      </c>
      <c r="E418527" s="11" t="s">
        <v>14</v>
      </c>
      <c r="F418527" s="9" t="s">
        <v>22</v>
      </c>
      <c r="G418527">
        <v>1</v>
      </c>
      <c r="J418527" s="7">
        <v>1.2250000000000001</v>
      </c>
      <c r="K418527" s="11">
        <f t="shared" si="52"/>
        <v>2026</v>
      </c>
      <c r="L418527" t="s">
        <v>25</v>
      </c>
      <c r="M418527" t="s">
        <v>17</v>
      </c>
    </row>
    <row r="418528" spans="1:13" x14ac:dyDescent="0.25">
      <c r="A418528" s="6">
        <v>46133</v>
      </c>
      <c r="B418528" s="11">
        <f t="shared" si="50"/>
        <v>4</v>
      </c>
      <c r="C418528" s="11">
        <f t="shared" si="51"/>
        <v>17</v>
      </c>
      <c r="D418528" s="5" t="s">
        <v>13</v>
      </c>
      <c r="E418528" s="11" t="s">
        <v>14</v>
      </c>
      <c r="F418528" s="9" t="s">
        <v>22</v>
      </c>
      <c r="G418528">
        <v>1</v>
      </c>
      <c r="J418528" s="7">
        <v>1.038</v>
      </c>
      <c r="K418528" s="11">
        <f t="shared" si="52"/>
        <v>2026</v>
      </c>
      <c r="L418528" t="s">
        <v>25</v>
      </c>
      <c r="M418528" t="s">
        <v>17</v>
      </c>
    </row>
    <row r="418529" spans="1:13" x14ac:dyDescent="0.25">
      <c r="A418529" s="6">
        <v>46133</v>
      </c>
      <c r="B418529" s="11">
        <f t="shared" si="50"/>
        <v>4</v>
      </c>
      <c r="C418529" s="11">
        <f t="shared" si="51"/>
        <v>17</v>
      </c>
      <c r="D418529" s="5" t="s">
        <v>18</v>
      </c>
      <c r="E418529" s="11" t="s">
        <v>14</v>
      </c>
      <c r="F418529" s="9" t="s">
        <v>22</v>
      </c>
      <c r="G418529">
        <v>1</v>
      </c>
      <c r="J418529" s="7">
        <v>2.7829999999999999</v>
      </c>
      <c r="K418529" s="11">
        <f t="shared" si="52"/>
        <v>2026</v>
      </c>
      <c r="L418529" t="s">
        <v>25</v>
      </c>
      <c r="M418529" t="s">
        <v>17</v>
      </c>
    </row>
    <row r="418530" spans="1:13" x14ac:dyDescent="0.25">
      <c r="A418530" s="6">
        <v>46133.083333333336</v>
      </c>
      <c r="B418530" s="11">
        <f t="shared" si="50"/>
        <v>4</v>
      </c>
      <c r="C418530" s="11">
        <f t="shared" si="51"/>
        <v>17</v>
      </c>
      <c r="D418530" s="5" t="s">
        <v>18</v>
      </c>
      <c r="E418530" s="11" t="s">
        <v>14</v>
      </c>
      <c r="F418530" s="9" t="s">
        <v>15</v>
      </c>
      <c r="G418530">
        <v>1</v>
      </c>
      <c r="J418530" s="7">
        <v>1.92</v>
      </c>
      <c r="K418530" s="11">
        <f t="shared" si="52"/>
        <v>2026</v>
      </c>
      <c r="L418530" t="s">
        <v>25</v>
      </c>
      <c r="M418530" t="s">
        <v>17</v>
      </c>
    </row>
    <row r="418531" spans="1:13" x14ac:dyDescent="0.25">
      <c r="A418531" s="6">
        <v>46133</v>
      </c>
      <c r="B418531" s="11">
        <f t="shared" si="50"/>
        <v>4</v>
      </c>
      <c r="C418531" s="11">
        <f t="shared" si="51"/>
        <v>17</v>
      </c>
      <c r="D418531" s="5" t="s">
        <v>18</v>
      </c>
      <c r="E418531" s="11" t="s">
        <v>14</v>
      </c>
      <c r="F418531" s="9" t="s">
        <v>22</v>
      </c>
      <c r="G418531">
        <v>1</v>
      </c>
      <c r="J418531" s="7">
        <v>1.29</v>
      </c>
      <c r="K418531" s="11">
        <f t="shared" si="52"/>
        <v>2026</v>
      </c>
      <c r="L418531" t="s">
        <v>25</v>
      </c>
      <c r="M418531" t="s">
        <v>17</v>
      </c>
    </row>
    <row r="418532" spans="1:13" x14ac:dyDescent="0.25">
      <c r="A418532" s="6">
        <v>46137.333333333336</v>
      </c>
      <c r="B418532" s="11">
        <f t="shared" si="50"/>
        <v>4</v>
      </c>
      <c r="C418532" s="11">
        <f t="shared" si="51"/>
        <v>17</v>
      </c>
      <c r="D418532" s="5" t="s">
        <v>18</v>
      </c>
      <c r="E418532" s="11" t="s">
        <v>14</v>
      </c>
      <c r="F418532" s="9" t="s">
        <v>22</v>
      </c>
      <c r="G418532">
        <v>1</v>
      </c>
      <c r="J418532" s="7">
        <v>3.76</v>
      </c>
      <c r="K418532" s="11">
        <f t="shared" si="52"/>
        <v>2026</v>
      </c>
      <c r="L418532" t="s">
        <v>25</v>
      </c>
      <c r="M418532" t="s">
        <v>17</v>
      </c>
    </row>
    <row r="418533" spans="1:13" x14ac:dyDescent="0.25">
      <c r="A418533" s="6">
        <v>46136.791666666664</v>
      </c>
      <c r="B418533" s="11">
        <f t="shared" si="50"/>
        <v>4</v>
      </c>
      <c r="C418533" s="11">
        <f t="shared" si="51"/>
        <v>17</v>
      </c>
      <c r="D418533" s="5" t="s">
        <v>13</v>
      </c>
      <c r="E418533" s="11" t="s">
        <v>14</v>
      </c>
      <c r="F418533" s="9" t="s">
        <v>22</v>
      </c>
      <c r="G418533">
        <v>1</v>
      </c>
      <c r="J418533" s="7">
        <v>2.5169999999999999</v>
      </c>
      <c r="K418533" s="11">
        <f t="shared" si="52"/>
        <v>2026</v>
      </c>
      <c r="L418533" t="s">
        <v>25</v>
      </c>
      <c r="M418533" t="s">
        <v>17</v>
      </c>
    </row>
    <row r="418534" spans="1:13" x14ac:dyDescent="0.25">
      <c r="A418534" s="6">
        <v>46133.208333333336</v>
      </c>
      <c r="B418534" s="11">
        <f t="shared" si="50"/>
        <v>4</v>
      </c>
      <c r="C418534" s="11">
        <f t="shared" si="51"/>
        <v>17</v>
      </c>
      <c r="D418534" s="5" t="s">
        <v>18</v>
      </c>
      <c r="E418534" s="11" t="s">
        <v>14</v>
      </c>
      <c r="F418534" s="9" t="s">
        <v>15</v>
      </c>
      <c r="G418534">
        <v>1</v>
      </c>
      <c r="J418534" s="7">
        <v>5.2220000000000004</v>
      </c>
      <c r="K418534" s="11">
        <f t="shared" si="52"/>
        <v>2026</v>
      </c>
      <c r="L418534" t="s">
        <v>25</v>
      </c>
      <c r="M418534" t="s">
        <v>17</v>
      </c>
    </row>
    <row r="418535" spans="1:13" x14ac:dyDescent="0.25">
      <c r="A418535" s="6">
        <v>46134.041666666664</v>
      </c>
      <c r="B418535" s="11">
        <f t="shared" si="50"/>
        <v>4</v>
      </c>
      <c r="C418535" s="11">
        <f t="shared" si="51"/>
        <v>17</v>
      </c>
      <c r="D418535" s="5" t="s">
        <v>18</v>
      </c>
      <c r="E418535" s="11" t="s">
        <v>14</v>
      </c>
      <c r="F418535" s="9" t="s">
        <v>15</v>
      </c>
      <c r="G418535">
        <v>1</v>
      </c>
      <c r="J418535" s="7">
        <v>1.27</v>
      </c>
      <c r="K418535" s="11">
        <f t="shared" si="52"/>
        <v>2026</v>
      </c>
      <c r="L418535" t="s">
        <v>25</v>
      </c>
      <c r="M418535" t="s">
        <v>17</v>
      </c>
    </row>
    <row r="418536" spans="1:13" x14ac:dyDescent="0.25">
      <c r="A418536" s="6">
        <v>46133.208333333336</v>
      </c>
      <c r="B418536" s="11">
        <f t="shared" si="50"/>
        <v>4</v>
      </c>
      <c r="C418536" s="11">
        <f t="shared" si="51"/>
        <v>17</v>
      </c>
      <c r="D418536" s="5" t="s">
        <v>18</v>
      </c>
      <c r="E418536" s="11" t="s">
        <v>14</v>
      </c>
      <c r="F418536" s="9" t="s">
        <v>15</v>
      </c>
      <c r="G418536">
        <v>1</v>
      </c>
      <c r="J418536" s="7">
        <v>17.466999999999999</v>
      </c>
      <c r="K418536" s="11">
        <f t="shared" si="52"/>
        <v>2026</v>
      </c>
      <c r="L418536" t="s">
        <v>25</v>
      </c>
      <c r="M418536" t="s">
        <v>17</v>
      </c>
    </row>
    <row r="418537" spans="1:13" x14ac:dyDescent="0.25">
      <c r="A418537" s="6">
        <v>46137.333333333336</v>
      </c>
      <c r="B418537" s="11">
        <f t="shared" si="50"/>
        <v>4</v>
      </c>
      <c r="C418537" s="11">
        <f t="shared" si="51"/>
        <v>17</v>
      </c>
      <c r="D418537" s="5" t="s">
        <v>13</v>
      </c>
      <c r="E418537" s="11" t="s">
        <v>14</v>
      </c>
      <c r="F418537" s="9" t="s">
        <v>15</v>
      </c>
      <c r="G418537">
        <v>1</v>
      </c>
      <c r="J418537" s="7">
        <v>1.6919999999999999</v>
      </c>
      <c r="K418537" s="11">
        <f t="shared" si="52"/>
        <v>2026</v>
      </c>
      <c r="L418537" t="s">
        <v>25</v>
      </c>
      <c r="M418537" t="s">
        <v>17</v>
      </c>
    </row>
    <row r="418538" spans="1:13" x14ac:dyDescent="0.25">
      <c r="A418538" s="6">
        <v>46134</v>
      </c>
      <c r="B418538" s="11">
        <f t="shared" si="50"/>
        <v>4</v>
      </c>
      <c r="C418538" s="11">
        <f t="shared" si="51"/>
        <v>17</v>
      </c>
      <c r="D418538" s="5" t="s">
        <v>20</v>
      </c>
      <c r="E418538" s="11" t="s">
        <v>14</v>
      </c>
      <c r="F418538" s="9" t="s">
        <v>22</v>
      </c>
      <c r="G418538">
        <v>1</v>
      </c>
      <c r="J418538" s="7">
        <v>0.4</v>
      </c>
      <c r="K418538" s="11">
        <f t="shared" si="52"/>
        <v>2026</v>
      </c>
      <c r="L418538" t="s">
        <v>25</v>
      </c>
      <c r="M418538" t="s">
        <v>17</v>
      </c>
    </row>
    <row r="418539" spans="1:13" x14ac:dyDescent="0.25">
      <c r="A418539" s="6">
        <v>46133.083333333336</v>
      </c>
      <c r="B418539" s="11">
        <f t="shared" ref="B418539:B418602" si="53">MONTH(A418539)</f>
        <v>4</v>
      </c>
      <c r="C418539" s="11">
        <f t="shared" ref="C418539:C418602" si="54">WEEKNUM(A418539)</f>
        <v>17</v>
      </c>
      <c r="D418539" s="5" t="s">
        <v>13</v>
      </c>
      <c r="E418539" s="11" t="s">
        <v>14</v>
      </c>
      <c r="F418539" s="9" t="s">
        <v>15</v>
      </c>
      <c r="G418539">
        <v>1</v>
      </c>
      <c r="J418539" s="7">
        <v>2.7E-2</v>
      </c>
      <c r="K418539" s="11">
        <f t="shared" si="52"/>
        <v>2026</v>
      </c>
      <c r="L418539" t="s">
        <v>25</v>
      </c>
      <c r="M418539" t="s">
        <v>17</v>
      </c>
    </row>
    <row r="418540" spans="1:13" x14ac:dyDescent="0.25">
      <c r="A418540" s="6">
        <v>46133.083333333336</v>
      </c>
      <c r="B418540" s="11">
        <f t="shared" si="53"/>
        <v>4</v>
      </c>
      <c r="C418540" s="11">
        <f t="shared" si="54"/>
        <v>17</v>
      </c>
      <c r="D418540" s="5" t="s">
        <v>13</v>
      </c>
      <c r="E418540" s="11" t="s">
        <v>14</v>
      </c>
      <c r="F418540" s="9" t="s">
        <v>15</v>
      </c>
      <c r="G418540">
        <v>1</v>
      </c>
      <c r="J418540" s="7">
        <v>0.18</v>
      </c>
      <c r="K418540" s="11">
        <f t="shared" si="52"/>
        <v>2026</v>
      </c>
      <c r="L418540" t="s">
        <v>25</v>
      </c>
      <c r="M418540" t="s">
        <v>17</v>
      </c>
    </row>
    <row r="418541" spans="1:13" x14ac:dyDescent="0.25">
      <c r="A418541" s="6">
        <v>46133.083333333336</v>
      </c>
      <c r="B418541" s="11">
        <f t="shared" si="53"/>
        <v>4</v>
      </c>
      <c r="C418541" s="11">
        <f t="shared" si="54"/>
        <v>17</v>
      </c>
      <c r="D418541" s="5" t="s">
        <v>13</v>
      </c>
      <c r="E418541" s="11" t="s">
        <v>14</v>
      </c>
      <c r="F418541" s="9" t="s">
        <v>15</v>
      </c>
      <c r="G418541">
        <v>1</v>
      </c>
      <c r="J418541" s="7">
        <v>5.54</v>
      </c>
      <c r="K418541" s="11">
        <f t="shared" si="52"/>
        <v>2026</v>
      </c>
      <c r="L418541" t="s">
        <v>25</v>
      </c>
      <c r="M418541" t="s">
        <v>17</v>
      </c>
    </row>
    <row r="418542" spans="1:13" x14ac:dyDescent="0.25">
      <c r="A418542" s="6">
        <v>46133.083333333336</v>
      </c>
      <c r="B418542" s="11">
        <f t="shared" si="53"/>
        <v>4</v>
      </c>
      <c r="C418542" s="11">
        <f t="shared" si="54"/>
        <v>17</v>
      </c>
      <c r="D418542" s="5" t="s">
        <v>13</v>
      </c>
      <c r="E418542" s="11" t="s">
        <v>14</v>
      </c>
      <c r="F418542" s="9" t="s">
        <v>15</v>
      </c>
      <c r="G418542">
        <v>1</v>
      </c>
      <c r="J418542" s="7">
        <v>0.38</v>
      </c>
      <c r="K418542" s="11">
        <f t="shared" si="52"/>
        <v>2026</v>
      </c>
      <c r="L418542" t="s">
        <v>25</v>
      </c>
      <c r="M418542" t="s">
        <v>17</v>
      </c>
    </row>
    <row r="418543" spans="1:13" x14ac:dyDescent="0.25">
      <c r="A418543" s="6">
        <v>46137.333333333336</v>
      </c>
      <c r="B418543" s="11">
        <f t="shared" si="53"/>
        <v>4</v>
      </c>
      <c r="C418543" s="11">
        <f t="shared" si="54"/>
        <v>17</v>
      </c>
      <c r="D418543" s="5" t="s">
        <v>13</v>
      </c>
      <c r="E418543" s="11" t="s">
        <v>14</v>
      </c>
      <c r="F418543" s="9" t="s">
        <v>15</v>
      </c>
      <c r="G418543">
        <v>1</v>
      </c>
      <c r="J418543" s="7">
        <v>12.519</v>
      </c>
      <c r="K418543" s="11">
        <f t="shared" si="52"/>
        <v>2026</v>
      </c>
      <c r="L418543" t="s">
        <v>25</v>
      </c>
      <c r="M418543" t="s">
        <v>17</v>
      </c>
    </row>
    <row r="418544" spans="1:13" x14ac:dyDescent="0.25">
      <c r="A418544" s="6">
        <v>46136</v>
      </c>
      <c r="B418544" s="11">
        <f t="shared" si="53"/>
        <v>4</v>
      </c>
      <c r="C418544" s="11">
        <f t="shared" si="54"/>
        <v>17</v>
      </c>
      <c r="D418544" s="5" t="s">
        <v>20</v>
      </c>
      <c r="E418544" s="11" t="s">
        <v>14</v>
      </c>
      <c r="F418544" s="9" t="s">
        <v>22</v>
      </c>
      <c r="G418544">
        <v>1</v>
      </c>
      <c r="J418544" s="7">
        <v>10.079000000000001</v>
      </c>
      <c r="K418544" s="11">
        <f t="shared" si="52"/>
        <v>2026</v>
      </c>
      <c r="L418544" t="s">
        <v>25</v>
      </c>
      <c r="M418544" t="s">
        <v>17</v>
      </c>
    </row>
    <row r="418545" spans="1:13" x14ac:dyDescent="0.25">
      <c r="A418545" s="6">
        <v>46133.083333333336</v>
      </c>
      <c r="B418545" s="11">
        <f t="shared" si="53"/>
        <v>4</v>
      </c>
      <c r="C418545" s="11">
        <f t="shared" si="54"/>
        <v>17</v>
      </c>
      <c r="D418545" s="5" t="s">
        <v>13</v>
      </c>
      <c r="E418545" s="11" t="s">
        <v>14</v>
      </c>
      <c r="F418545" s="9" t="s">
        <v>15</v>
      </c>
      <c r="G418545">
        <v>1</v>
      </c>
      <c r="J418545" s="7">
        <v>0.45</v>
      </c>
      <c r="K418545" s="11">
        <f t="shared" si="52"/>
        <v>2026</v>
      </c>
      <c r="L418545" t="s">
        <v>25</v>
      </c>
      <c r="M418545" t="s">
        <v>17</v>
      </c>
    </row>
    <row r="418546" spans="1:13" x14ac:dyDescent="0.25">
      <c r="A418546" s="6">
        <v>46133.083333333336</v>
      </c>
      <c r="B418546" s="11">
        <f t="shared" si="53"/>
        <v>4</v>
      </c>
      <c r="C418546" s="11">
        <f t="shared" si="54"/>
        <v>17</v>
      </c>
      <c r="D418546" s="5" t="s">
        <v>13</v>
      </c>
      <c r="E418546" s="11" t="s">
        <v>14</v>
      </c>
      <c r="F418546" s="9" t="s">
        <v>15</v>
      </c>
      <c r="G418546">
        <v>1</v>
      </c>
      <c r="J418546" s="7">
        <v>16.62</v>
      </c>
      <c r="K418546" s="11">
        <f t="shared" si="52"/>
        <v>2026</v>
      </c>
      <c r="L418546" t="s">
        <v>25</v>
      </c>
      <c r="M418546" t="s">
        <v>17</v>
      </c>
    </row>
    <row r="418547" spans="1:13" x14ac:dyDescent="0.25">
      <c r="A418547" s="6">
        <v>46133.083333333336</v>
      </c>
      <c r="B418547" s="11">
        <f t="shared" si="53"/>
        <v>4</v>
      </c>
      <c r="C418547" s="11">
        <f t="shared" si="54"/>
        <v>17</v>
      </c>
      <c r="D418547" s="5" t="s">
        <v>13</v>
      </c>
      <c r="E418547" s="11" t="s">
        <v>14</v>
      </c>
      <c r="F418547" s="9" t="s">
        <v>15</v>
      </c>
      <c r="G418547">
        <v>1</v>
      </c>
      <c r="J418547" s="7">
        <v>1.61</v>
      </c>
      <c r="K418547" s="11">
        <f t="shared" si="52"/>
        <v>2026</v>
      </c>
      <c r="L418547" t="s">
        <v>25</v>
      </c>
      <c r="M418547" t="s">
        <v>17</v>
      </c>
    </row>
    <row r="418548" spans="1:13" x14ac:dyDescent="0.25">
      <c r="A418548" s="6">
        <v>46137.333333333336</v>
      </c>
      <c r="B418548" s="11">
        <f t="shared" si="53"/>
        <v>4</v>
      </c>
      <c r="C418548" s="11">
        <f t="shared" si="54"/>
        <v>17</v>
      </c>
      <c r="D418548" s="5" t="s">
        <v>13</v>
      </c>
      <c r="E418548" s="11" t="s">
        <v>14</v>
      </c>
      <c r="F418548" s="9" t="s">
        <v>15</v>
      </c>
      <c r="G418548">
        <v>1</v>
      </c>
      <c r="J418548" s="7">
        <v>0.84599999999999997</v>
      </c>
      <c r="K418548" s="11">
        <f t="shared" si="52"/>
        <v>2026</v>
      </c>
      <c r="L418548" t="s">
        <v>25</v>
      </c>
      <c r="M418548" t="s">
        <v>17</v>
      </c>
    </row>
    <row r="418549" spans="1:13" x14ac:dyDescent="0.25">
      <c r="A418549" s="6">
        <v>46133.083333333336</v>
      </c>
      <c r="B418549" s="11">
        <f t="shared" si="53"/>
        <v>4</v>
      </c>
      <c r="C418549" s="11">
        <f t="shared" si="54"/>
        <v>17</v>
      </c>
      <c r="D418549" s="5" t="s">
        <v>13</v>
      </c>
      <c r="E418549" s="11" t="s">
        <v>14</v>
      </c>
      <c r="F418549" s="9" t="s">
        <v>15</v>
      </c>
      <c r="G418549">
        <v>1</v>
      </c>
      <c r="J418549" s="7">
        <v>2.7E-2</v>
      </c>
      <c r="K418549" s="11">
        <f t="shared" si="52"/>
        <v>2026</v>
      </c>
      <c r="L418549" t="s">
        <v>25</v>
      </c>
      <c r="M418549" t="s">
        <v>17</v>
      </c>
    </row>
    <row r="418550" spans="1:13" x14ac:dyDescent="0.25">
      <c r="A418550" s="6">
        <v>46134.833333333336</v>
      </c>
      <c r="B418550" s="11">
        <f t="shared" si="53"/>
        <v>4</v>
      </c>
      <c r="C418550" s="11">
        <f t="shared" si="54"/>
        <v>17</v>
      </c>
      <c r="D418550" s="5" t="s">
        <v>20</v>
      </c>
      <c r="E418550" s="11" t="s">
        <v>14</v>
      </c>
      <c r="F418550" s="9" t="s">
        <v>22</v>
      </c>
      <c r="G418550">
        <v>1</v>
      </c>
      <c r="J418550" s="7">
        <v>1.26</v>
      </c>
      <c r="K418550" s="11">
        <f t="shared" si="52"/>
        <v>2026</v>
      </c>
      <c r="L418550" t="s">
        <v>25</v>
      </c>
      <c r="M418550" t="s">
        <v>17</v>
      </c>
    </row>
    <row r="418551" spans="1:13" x14ac:dyDescent="0.25">
      <c r="A418551" s="6">
        <v>46133</v>
      </c>
      <c r="B418551" s="11">
        <f t="shared" si="53"/>
        <v>4</v>
      </c>
      <c r="C418551" s="11">
        <f t="shared" si="54"/>
        <v>17</v>
      </c>
      <c r="D418551" s="5" t="s">
        <v>18</v>
      </c>
      <c r="E418551" s="11" t="s">
        <v>14</v>
      </c>
      <c r="F418551" s="9" t="s">
        <v>22</v>
      </c>
      <c r="G418551">
        <v>1</v>
      </c>
      <c r="J418551" s="7">
        <v>0.91200000000000003</v>
      </c>
      <c r="K418551" s="11">
        <f t="shared" si="52"/>
        <v>2026</v>
      </c>
      <c r="L418551" t="s">
        <v>25</v>
      </c>
      <c r="M418551" t="s">
        <v>17</v>
      </c>
    </row>
    <row r="418552" spans="1:13" x14ac:dyDescent="0.25">
      <c r="A418552" s="6">
        <v>46133</v>
      </c>
      <c r="B418552" s="11">
        <f t="shared" si="53"/>
        <v>4</v>
      </c>
      <c r="C418552" s="11">
        <f t="shared" si="54"/>
        <v>17</v>
      </c>
      <c r="D418552" s="5" t="s">
        <v>18</v>
      </c>
      <c r="E418552" s="11" t="s">
        <v>14</v>
      </c>
      <c r="F418552" s="9" t="s">
        <v>22</v>
      </c>
      <c r="G418552">
        <v>1</v>
      </c>
      <c r="J418552" s="7">
        <v>1.708</v>
      </c>
      <c r="K418552" s="11">
        <f t="shared" si="52"/>
        <v>2026</v>
      </c>
      <c r="L418552" t="s">
        <v>25</v>
      </c>
      <c r="M418552" t="s">
        <v>17</v>
      </c>
    </row>
    <row r="418553" spans="1:13" x14ac:dyDescent="0.25">
      <c r="A418553" s="6">
        <v>46133</v>
      </c>
      <c r="B418553" s="11">
        <f t="shared" si="53"/>
        <v>4</v>
      </c>
      <c r="C418553" s="11">
        <f t="shared" si="54"/>
        <v>17</v>
      </c>
      <c r="D418553" s="5" t="s">
        <v>18</v>
      </c>
      <c r="E418553" s="11" t="s">
        <v>14</v>
      </c>
      <c r="F418553" s="9" t="s">
        <v>22</v>
      </c>
      <c r="G418553">
        <v>1</v>
      </c>
      <c r="J418553" s="7">
        <v>8.2100000000000009</v>
      </c>
      <c r="K418553" s="11">
        <f t="shared" si="52"/>
        <v>2026</v>
      </c>
      <c r="L418553" t="s">
        <v>25</v>
      </c>
      <c r="M418553" t="s">
        <v>17</v>
      </c>
    </row>
    <row r="418554" spans="1:13" x14ac:dyDescent="0.25">
      <c r="A418554" s="6">
        <v>46131.291666666664</v>
      </c>
      <c r="B418554" s="11">
        <f t="shared" si="53"/>
        <v>4</v>
      </c>
      <c r="C418554" s="11">
        <f t="shared" si="54"/>
        <v>17</v>
      </c>
      <c r="D418554" s="5" t="s">
        <v>13</v>
      </c>
      <c r="E418554" s="11" t="s">
        <v>14</v>
      </c>
      <c r="F418554" s="9" t="s">
        <v>15</v>
      </c>
      <c r="G418554">
        <v>1</v>
      </c>
      <c r="J418554" s="7">
        <v>0.74</v>
      </c>
      <c r="K418554" s="11">
        <f t="shared" si="52"/>
        <v>2026</v>
      </c>
      <c r="L418554" t="s">
        <v>25</v>
      </c>
      <c r="M418554" t="s">
        <v>17</v>
      </c>
    </row>
    <row r="418555" spans="1:13" x14ac:dyDescent="0.25">
      <c r="A418555" s="6">
        <v>46131.291666666664</v>
      </c>
      <c r="B418555" s="11">
        <f t="shared" si="53"/>
        <v>4</v>
      </c>
      <c r="C418555" s="11">
        <f t="shared" si="54"/>
        <v>17</v>
      </c>
      <c r="D418555" s="5" t="s">
        <v>13</v>
      </c>
      <c r="E418555" s="11" t="s">
        <v>14</v>
      </c>
      <c r="F418555" s="9" t="s">
        <v>15</v>
      </c>
      <c r="G418555">
        <v>1</v>
      </c>
      <c r="J418555" s="7">
        <v>0.12</v>
      </c>
      <c r="K418555" s="11">
        <f t="shared" si="52"/>
        <v>2026</v>
      </c>
      <c r="L418555" t="s">
        <v>25</v>
      </c>
      <c r="M418555" t="s">
        <v>17</v>
      </c>
    </row>
    <row r="418556" spans="1:13" x14ac:dyDescent="0.25">
      <c r="A418556" s="6">
        <v>46131.291666666664</v>
      </c>
      <c r="B418556" s="11">
        <f t="shared" si="53"/>
        <v>4</v>
      </c>
      <c r="C418556" s="11">
        <f t="shared" si="54"/>
        <v>17</v>
      </c>
      <c r="D418556" s="5" t="s">
        <v>13</v>
      </c>
      <c r="E418556" s="11" t="s">
        <v>14</v>
      </c>
      <c r="F418556" s="9" t="s">
        <v>15</v>
      </c>
      <c r="G418556">
        <v>1</v>
      </c>
      <c r="J418556" s="7">
        <v>6.98</v>
      </c>
      <c r="K418556" s="11">
        <f t="shared" si="52"/>
        <v>2026</v>
      </c>
      <c r="L418556" t="s">
        <v>25</v>
      </c>
      <c r="M418556" t="s">
        <v>17</v>
      </c>
    </row>
    <row r="418557" spans="1:13" x14ac:dyDescent="0.25">
      <c r="A418557" s="6">
        <v>46131.291666666664</v>
      </c>
      <c r="B418557" s="11">
        <f t="shared" si="53"/>
        <v>4</v>
      </c>
      <c r="C418557" s="11">
        <f t="shared" si="54"/>
        <v>17</v>
      </c>
      <c r="D418557" s="5" t="s">
        <v>13</v>
      </c>
      <c r="E418557" s="11" t="s">
        <v>14</v>
      </c>
      <c r="F418557" s="9" t="s">
        <v>15</v>
      </c>
      <c r="G418557">
        <v>1</v>
      </c>
      <c r="J418557" s="7">
        <v>2.71</v>
      </c>
      <c r="K418557" s="11">
        <f t="shared" si="52"/>
        <v>2026</v>
      </c>
      <c r="L418557" t="s">
        <v>25</v>
      </c>
      <c r="M418557" t="s">
        <v>17</v>
      </c>
    </row>
    <row r="418558" spans="1:13" x14ac:dyDescent="0.25">
      <c r="A418558" s="6">
        <v>46133</v>
      </c>
      <c r="B418558" s="11">
        <f t="shared" si="53"/>
        <v>4</v>
      </c>
      <c r="C418558" s="11">
        <f t="shared" si="54"/>
        <v>17</v>
      </c>
      <c r="D418558" s="5" t="s">
        <v>21</v>
      </c>
      <c r="E418558" s="11" t="s">
        <v>14</v>
      </c>
      <c r="F418558" s="9" t="s">
        <v>22</v>
      </c>
      <c r="G418558">
        <v>1</v>
      </c>
      <c r="J418558" s="7">
        <v>3.1150000000000002</v>
      </c>
      <c r="K418558" s="11">
        <f t="shared" si="52"/>
        <v>2026</v>
      </c>
      <c r="L418558" t="s">
        <v>25</v>
      </c>
      <c r="M418558" t="s">
        <v>17</v>
      </c>
    </row>
    <row r="418559" spans="1:13" x14ac:dyDescent="0.25">
      <c r="A418559" s="6">
        <v>46134.041666666664</v>
      </c>
      <c r="B418559" s="11">
        <f t="shared" si="53"/>
        <v>4</v>
      </c>
      <c r="C418559" s="11">
        <f t="shared" si="54"/>
        <v>17</v>
      </c>
      <c r="D418559" s="5" t="s">
        <v>13</v>
      </c>
      <c r="E418559" s="11" t="s">
        <v>14</v>
      </c>
      <c r="F418559" s="9" t="s">
        <v>15</v>
      </c>
      <c r="G418559">
        <v>1</v>
      </c>
      <c r="J418559" s="7">
        <v>1.321</v>
      </c>
      <c r="K418559" s="11">
        <f t="shared" si="52"/>
        <v>2026</v>
      </c>
      <c r="L418559" t="s">
        <v>25</v>
      </c>
      <c r="M418559" t="s">
        <v>17</v>
      </c>
    </row>
    <row r="418560" spans="1:13" x14ac:dyDescent="0.25">
      <c r="A418560" s="6">
        <v>46134.041666666664</v>
      </c>
      <c r="B418560" s="11">
        <f t="shared" si="53"/>
        <v>4</v>
      </c>
      <c r="C418560" s="11">
        <f t="shared" si="54"/>
        <v>17</v>
      </c>
      <c r="D418560" s="5" t="s">
        <v>13</v>
      </c>
      <c r="E418560" s="11" t="s">
        <v>14</v>
      </c>
      <c r="F418560" s="9" t="s">
        <v>15</v>
      </c>
      <c r="G418560">
        <v>1</v>
      </c>
      <c r="J418560" s="7">
        <v>0.69699999999999995</v>
      </c>
      <c r="K418560" s="11">
        <f t="shared" si="52"/>
        <v>2026</v>
      </c>
      <c r="L418560" t="s">
        <v>25</v>
      </c>
      <c r="M418560" t="s">
        <v>17</v>
      </c>
    </row>
    <row r="418561" spans="1:13" x14ac:dyDescent="0.25">
      <c r="A418561" s="6">
        <v>46133</v>
      </c>
      <c r="B418561" s="11">
        <f t="shared" si="53"/>
        <v>4</v>
      </c>
      <c r="C418561" s="11">
        <f t="shared" si="54"/>
        <v>17</v>
      </c>
      <c r="D418561" s="5" t="s">
        <v>23</v>
      </c>
      <c r="E418561" s="11" t="s">
        <v>14</v>
      </c>
      <c r="F418561" s="9" t="s">
        <v>22</v>
      </c>
      <c r="G418561">
        <v>1</v>
      </c>
      <c r="J418561" s="7">
        <v>2.9279999999999999</v>
      </c>
      <c r="K418561" s="11">
        <f t="shared" si="52"/>
        <v>2026</v>
      </c>
      <c r="L418561" t="s">
        <v>25</v>
      </c>
      <c r="M418561" t="s">
        <v>17</v>
      </c>
    </row>
    <row r="418562" spans="1:13" x14ac:dyDescent="0.25">
      <c r="A418562" s="6">
        <v>46132.666666666664</v>
      </c>
      <c r="B418562" s="11">
        <f t="shared" si="53"/>
        <v>4</v>
      </c>
      <c r="C418562" s="11">
        <f t="shared" si="54"/>
        <v>17</v>
      </c>
      <c r="D418562" s="5" t="s">
        <v>18</v>
      </c>
      <c r="E418562" s="11" t="s">
        <v>14</v>
      </c>
      <c r="F418562" s="9" t="s">
        <v>22</v>
      </c>
      <c r="G418562">
        <v>1</v>
      </c>
      <c r="J418562" s="7">
        <v>6.6509999999999998</v>
      </c>
      <c r="K418562" s="11">
        <f t="shared" si="52"/>
        <v>2026</v>
      </c>
      <c r="L418562" t="s">
        <v>25</v>
      </c>
      <c r="M418562" t="s">
        <v>17</v>
      </c>
    </row>
    <row r="418563" spans="1:13" x14ac:dyDescent="0.25">
      <c r="A418563" s="6">
        <v>46133.541666666664</v>
      </c>
      <c r="B418563" s="11">
        <f t="shared" si="53"/>
        <v>4</v>
      </c>
      <c r="C418563" s="11">
        <f t="shared" si="54"/>
        <v>17</v>
      </c>
      <c r="D418563" s="5" t="s">
        <v>21</v>
      </c>
      <c r="E418563" s="11" t="s">
        <v>14</v>
      </c>
      <c r="F418563" s="9" t="s">
        <v>22</v>
      </c>
      <c r="G418563">
        <v>1</v>
      </c>
      <c r="J418563" s="7">
        <v>0.27800000000000002</v>
      </c>
      <c r="K418563" s="11">
        <f t="shared" si="52"/>
        <v>2026</v>
      </c>
      <c r="L418563" t="s">
        <v>25</v>
      </c>
      <c r="M418563" t="s">
        <v>17</v>
      </c>
    </row>
    <row r="418564" spans="1:13" x14ac:dyDescent="0.25">
      <c r="A418564" s="6">
        <v>46133.166666666664</v>
      </c>
      <c r="B418564" s="11">
        <f t="shared" si="53"/>
        <v>4</v>
      </c>
      <c r="C418564" s="11">
        <f t="shared" si="54"/>
        <v>17</v>
      </c>
      <c r="D418564" s="5" t="s">
        <v>18</v>
      </c>
      <c r="E418564" s="11" t="s">
        <v>14</v>
      </c>
      <c r="F418564" s="9" t="s">
        <v>22</v>
      </c>
      <c r="G418564">
        <v>1</v>
      </c>
      <c r="J418564" s="7">
        <v>1.1479999999999999</v>
      </c>
      <c r="K418564" s="11">
        <f t="shared" si="52"/>
        <v>2026</v>
      </c>
      <c r="L418564" t="s">
        <v>25</v>
      </c>
      <c r="M418564" t="s">
        <v>17</v>
      </c>
    </row>
    <row r="418565" spans="1:13" x14ac:dyDescent="0.25">
      <c r="A418565" s="6">
        <v>46133.166666666664</v>
      </c>
      <c r="B418565" s="11">
        <f t="shared" si="53"/>
        <v>4</v>
      </c>
      <c r="C418565" s="11">
        <f t="shared" si="54"/>
        <v>17</v>
      </c>
      <c r="D418565" s="5" t="s">
        <v>18</v>
      </c>
      <c r="E418565" s="11" t="s">
        <v>14</v>
      </c>
      <c r="F418565" s="9" t="s">
        <v>22</v>
      </c>
      <c r="G418565">
        <v>1</v>
      </c>
      <c r="J418565" s="7">
        <v>2.024</v>
      </c>
      <c r="K418565" s="11">
        <f t="shared" si="52"/>
        <v>2026</v>
      </c>
      <c r="L418565" t="s">
        <v>25</v>
      </c>
      <c r="M418565" t="s">
        <v>17</v>
      </c>
    </row>
    <row r="418566" spans="1:13" x14ac:dyDescent="0.25">
      <c r="A418566" s="6">
        <v>46137</v>
      </c>
      <c r="B418566" s="11">
        <f t="shared" si="53"/>
        <v>4</v>
      </c>
      <c r="C418566" s="11">
        <f t="shared" si="54"/>
        <v>17</v>
      </c>
      <c r="D418566" s="5" t="s">
        <v>19</v>
      </c>
      <c r="E418566" s="11" t="s">
        <v>14</v>
      </c>
      <c r="F418566" s="9" t="s">
        <v>22</v>
      </c>
      <c r="G418566">
        <v>1</v>
      </c>
      <c r="J418566" s="7">
        <v>1.347</v>
      </c>
      <c r="K418566" s="11">
        <f t="shared" si="52"/>
        <v>2026</v>
      </c>
      <c r="L418566" t="s">
        <v>25</v>
      </c>
      <c r="M418566" t="s">
        <v>17</v>
      </c>
    </row>
    <row r="418567" spans="1:13" x14ac:dyDescent="0.25">
      <c r="A418567" s="6">
        <v>46137.333333333336</v>
      </c>
      <c r="B418567" s="11">
        <f t="shared" si="53"/>
        <v>4</v>
      </c>
      <c r="C418567" s="11">
        <f t="shared" si="54"/>
        <v>17</v>
      </c>
      <c r="D418567" s="5" t="s">
        <v>18</v>
      </c>
      <c r="E418567" s="11" t="s">
        <v>14</v>
      </c>
      <c r="F418567" s="9" t="s">
        <v>15</v>
      </c>
      <c r="G418567">
        <v>1</v>
      </c>
      <c r="J418567" s="7">
        <v>1.4430000000000001</v>
      </c>
      <c r="K418567" s="11">
        <f t="shared" si="52"/>
        <v>2026</v>
      </c>
      <c r="L418567" t="s">
        <v>25</v>
      </c>
      <c r="M418567" t="s">
        <v>17</v>
      </c>
    </row>
    <row r="418568" spans="1:13" x14ac:dyDescent="0.25">
      <c r="A418568" s="6">
        <v>46137.333333333336</v>
      </c>
      <c r="B418568" s="11">
        <f t="shared" si="53"/>
        <v>4</v>
      </c>
      <c r="C418568" s="11">
        <f t="shared" si="54"/>
        <v>17</v>
      </c>
      <c r="D418568" s="5" t="s">
        <v>18</v>
      </c>
      <c r="E418568" s="11" t="s">
        <v>14</v>
      </c>
      <c r="F418568" s="9" t="s">
        <v>15</v>
      </c>
      <c r="G418568">
        <v>1</v>
      </c>
      <c r="J418568" s="7">
        <v>1.4430000000000001</v>
      </c>
      <c r="K418568" s="11">
        <f t="shared" si="52"/>
        <v>2026</v>
      </c>
      <c r="L418568" t="s">
        <v>25</v>
      </c>
      <c r="M418568" t="s">
        <v>17</v>
      </c>
    </row>
    <row r="418569" spans="1:13" x14ac:dyDescent="0.25">
      <c r="A418569" s="6">
        <v>46137.333333333336</v>
      </c>
      <c r="B418569" s="11">
        <f t="shared" si="53"/>
        <v>4</v>
      </c>
      <c r="C418569" s="11">
        <f t="shared" si="54"/>
        <v>17</v>
      </c>
      <c r="D418569" s="5" t="s">
        <v>13</v>
      </c>
      <c r="E418569" s="11" t="s">
        <v>14</v>
      </c>
      <c r="F418569" s="9" t="s">
        <v>15</v>
      </c>
      <c r="G418569">
        <v>1</v>
      </c>
      <c r="J418569" s="7">
        <v>0.45600000000000002</v>
      </c>
      <c r="K418569" s="11">
        <f t="shared" si="52"/>
        <v>2026</v>
      </c>
      <c r="L418569" t="s">
        <v>25</v>
      </c>
      <c r="M418569" t="s">
        <v>17</v>
      </c>
    </row>
    <row r="418570" spans="1:13" x14ac:dyDescent="0.25">
      <c r="A418570" s="6">
        <v>46137.333333333336</v>
      </c>
      <c r="B418570" s="11">
        <f t="shared" si="53"/>
        <v>4</v>
      </c>
      <c r="C418570" s="11">
        <f t="shared" si="54"/>
        <v>17</v>
      </c>
      <c r="D418570" s="5" t="s">
        <v>13</v>
      </c>
      <c r="E418570" s="11" t="s">
        <v>14</v>
      </c>
      <c r="F418570" s="9" t="s">
        <v>15</v>
      </c>
      <c r="G418570">
        <v>1</v>
      </c>
      <c r="J418570" s="7">
        <v>0.42299999999999999</v>
      </c>
      <c r="K418570" s="11">
        <f t="shared" si="52"/>
        <v>2026</v>
      </c>
      <c r="L418570" t="s">
        <v>25</v>
      </c>
      <c r="M418570" t="s">
        <v>17</v>
      </c>
    </row>
    <row r="418571" spans="1:13" x14ac:dyDescent="0.25">
      <c r="A418571" s="6">
        <v>46137.333333333336</v>
      </c>
      <c r="B418571" s="11">
        <f t="shared" si="53"/>
        <v>4</v>
      </c>
      <c r="C418571" s="11">
        <f t="shared" si="54"/>
        <v>17</v>
      </c>
      <c r="D418571" s="5" t="s">
        <v>13</v>
      </c>
      <c r="E418571" s="11" t="s">
        <v>14</v>
      </c>
      <c r="F418571" s="9" t="s">
        <v>15</v>
      </c>
      <c r="G418571">
        <v>1</v>
      </c>
      <c r="J418571" s="7">
        <v>0.66</v>
      </c>
      <c r="K418571" s="11">
        <f t="shared" si="52"/>
        <v>2026</v>
      </c>
      <c r="L418571" t="s">
        <v>25</v>
      </c>
      <c r="M418571" t="s">
        <v>17</v>
      </c>
    </row>
    <row r="418572" spans="1:13" x14ac:dyDescent="0.25">
      <c r="A418572" s="6">
        <v>46137.333333333336</v>
      </c>
      <c r="B418572" s="11">
        <f t="shared" si="53"/>
        <v>4</v>
      </c>
      <c r="C418572" s="11">
        <f t="shared" si="54"/>
        <v>17</v>
      </c>
      <c r="D418572" s="5" t="s">
        <v>13</v>
      </c>
      <c r="E418572" s="11" t="s">
        <v>14</v>
      </c>
      <c r="F418572" s="9" t="s">
        <v>15</v>
      </c>
      <c r="G418572">
        <v>1</v>
      </c>
      <c r="J418572" s="7">
        <v>1.4890000000000001</v>
      </c>
      <c r="K418572" s="11">
        <f t="shared" si="52"/>
        <v>2026</v>
      </c>
      <c r="L418572" t="s">
        <v>25</v>
      </c>
      <c r="M418572" t="s">
        <v>17</v>
      </c>
    </row>
    <row r="418573" spans="1:13" x14ac:dyDescent="0.25">
      <c r="A418573" s="6">
        <v>46134.833333333336</v>
      </c>
      <c r="B418573" s="11">
        <f t="shared" si="53"/>
        <v>4</v>
      </c>
      <c r="C418573" s="11">
        <f t="shared" si="54"/>
        <v>17</v>
      </c>
      <c r="D418573" s="5" t="s">
        <v>18</v>
      </c>
      <c r="E418573" s="11" t="s">
        <v>14</v>
      </c>
      <c r="F418573" s="9" t="s">
        <v>15</v>
      </c>
      <c r="G418573">
        <v>1</v>
      </c>
      <c r="J418573" s="7">
        <v>4.8929999999999998</v>
      </c>
      <c r="K418573" s="11">
        <f t="shared" si="52"/>
        <v>2026</v>
      </c>
      <c r="L418573" t="s">
        <v>25</v>
      </c>
      <c r="M418573" t="s">
        <v>17</v>
      </c>
    </row>
    <row r="418574" spans="1:13" x14ac:dyDescent="0.25">
      <c r="A418574" s="6">
        <v>46134.447916666664</v>
      </c>
      <c r="B418574" s="11">
        <f t="shared" si="53"/>
        <v>4</v>
      </c>
      <c r="C418574" s="11">
        <f t="shared" si="54"/>
        <v>17</v>
      </c>
      <c r="D418574" s="5" t="s">
        <v>13</v>
      </c>
      <c r="E418574" s="11" t="s">
        <v>14</v>
      </c>
      <c r="F418574" s="9" t="s">
        <v>15</v>
      </c>
      <c r="G418574">
        <v>1</v>
      </c>
      <c r="J418574" s="7">
        <v>0.76</v>
      </c>
      <c r="K418574" s="11">
        <f t="shared" si="52"/>
        <v>2026</v>
      </c>
      <c r="L418574" t="s">
        <v>25</v>
      </c>
      <c r="M418574" t="s">
        <v>17</v>
      </c>
    </row>
    <row r="418575" spans="1:13" x14ac:dyDescent="0.25">
      <c r="A418575" s="6">
        <v>46134.447916666664</v>
      </c>
      <c r="B418575" s="11">
        <f t="shared" si="53"/>
        <v>4</v>
      </c>
      <c r="C418575" s="11">
        <f t="shared" si="54"/>
        <v>17</v>
      </c>
      <c r="D418575" s="5" t="s">
        <v>13</v>
      </c>
      <c r="E418575" s="11" t="s">
        <v>14</v>
      </c>
      <c r="F418575" s="9" t="s">
        <v>15</v>
      </c>
      <c r="G418575">
        <v>1</v>
      </c>
      <c r="J418575" s="7">
        <v>0.06</v>
      </c>
      <c r="K418575" s="11">
        <f t="shared" si="52"/>
        <v>2026</v>
      </c>
      <c r="L418575" t="s">
        <v>25</v>
      </c>
      <c r="M418575" t="s">
        <v>17</v>
      </c>
    </row>
    <row r="418576" spans="1:13" x14ac:dyDescent="0.25">
      <c r="A418576" s="6">
        <v>46134.447916666664</v>
      </c>
      <c r="B418576" s="11">
        <f t="shared" si="53"/>
        <v>4</v>
      </c>
      <c r="C418576" s="11">
        <f t="shared" si="54"/>
        <v>17</v>
      </c>
      <c r="D418576" s="5" t="s">
        <v>13</v>
      </c>
      <c r="E418576" s="11" t="s">
        <v>14</v>
      </c>
      <c r="F418576" s="9" t="s">
        <v>15</v>
      </c>
      <c r="G418576">
        <v>1</v>
      </c>
      <c r="J418576" s="7">
        <v>0.28999999999999998</v>
      </c>
      <c r="K418576" s="11">
        <f t="shared" si="52"/>
        <v>2026</v>
      </c>
      <c r="L418576" t="s">
        <v>25</v>
      </c>
      <c r="M418576" t="s">
        <v>17</v>
      </c>
    </row>
    <row r="418577" spans="1:13" x14ac:dyDescent="0.25">
      <c r="A418577" s="6">
        <v>46134.447916666664</v>
      </c>
      <c r="B418577" s="11">
        <f t="shared" si="53"/>
        <v>4</v>
      </c>
      <c r="C418577" s="11">
        <f t="shared" si="54"/>
        <v>17</v>
      </c>
      <c r="D418577" s="5" t="s">
        <v>13</v>
      </c>
      <c r="E418577" s="11" t="s">
        <v>14</v>
      </c>
      <c r="F418577" s="9" t="s">
        <v>15</v>
      </c>
      <c r="G418577">
        <v>1</v>
      </c>
      <c r="J418577" s="7">
        <v>1.1100000000000001</v>
      </c>
      <c r="K418577" s="11">
        <f t="shared" si="52"/>
        <v>2026</v>
      </c>
      <c r="L418577" t="s">
        <v>25</v>
      </c>
      <c r="M418577" t="s">
        <v>17</v>
      </c>
    </row>
    <row r="418578" spans="1:13" x14ac:dyDescent="0.25">
      <c r="A418578" s="6">
        <v>46136.791666666664</v>
      </c>
      <c r="B418578" s="11">
        <f t="shared" si="53"/>
        <v>4</v>
      </c>
      <c r="C418578" s="11">
        <f t="shared" si="54"/>
        <v>17</v>
      </c>
      <c r="D418578" s="5" t="s">
        <v>18</v>
      </c>
      <c r="E418578" s="11" t="s">
        <v>14</v>
      </c>
      <c r="F418578" s="9" t="s">
        <v>22</v>
      </c>
      <c r="G418578">
        <v>1</v>
      </c>
      <c r="J418578" s="7">
        <v>0.95</v>
      </c>
      <c r="K418578" s="11">
        <f t="shared" si="52"/>
        <v>2026</v>
      </c>
      <c r="L418578" t="s">
        <v>25</v>
      </c>
      <c r="M418578" t="s">
        <v>17</v>
      </c>
    </row>
    <row r="418579" spans="1:13" x14ac:dyDescent="0.25">
      <c r="A418579" s="6">
        <v>46136.791666666664</v>
      </c>
      <c r="B418579" s="11">
        <f t="shared" si="53"/>
        <v>4</v>
      </c>
      <c r="C418579" s="11">
        <f t="shared" si="54"/>
        <v>17</v>
      </c>
      <c r="D418579" s="5" t="s">
        <v>18</v>
      </c>
      <c r="E418579" s="11" t="s">
        <v>14</v>
      </c>
      <c r="F418579" s="9" t="s">
        <v>22</v>
      </c>
      <c r="G418579">
        <v>1</v>
      </c>
      <c r="J418579" s="7">
        <v>1.496</v>
      </c>
      <c r="K418579" s="11">
        <f t="shared" si="52"/>
        <v>2026</v>
      </c>
      <c r="L418579" t="s">
        <v>25</v>
      </c>
      <c r="M418579" t="s">
        <v>17</v>
      </c>
    </row>
    <row r="418580" spans="1:13" x14ac:dyDescent="0.25">
      <c r="A418580" s="6">
        <v>46133</v>
      </c>
      <c r="B418580" s="11">
        <f t="shared" si="53"/>
        <v>4</v>
      </c>
      <c r="C418580" s="11">
        <f t="shared" si="54"/>
        <v>17</v>
      </c>
      <c r="D418580" s="5" t="s">
        <v>21</v>
      </c>
      <c r="E418580" s="11" t="s">
        <v>14</v>
      </c>
      <c r="F418580" s="9" t="s">
        <v>22</v>
      </c>
      <c r="G418580">
        <v>1</v>
      </c>
      <c r="J418580" s="7">
        <v>2.7829999999999999</v>
      </c>
      <c r="K418580" s="11">
        <f t="shared" si="52"/>
        <v>2026</v>
      </c>
      <c r="L418580" t="s">
        <v>25</v>
      </c>
      <c r="M418580" t="s">
        <v>17</v>
      </c>
    </row>
    <row r="418581" spans="1:13" x14ac:dyDescent="0.25">
      <c r="A418581" s="6">
        <v>46137.333333333336</v>
      </c>
      <c r="B418581" s="11">
        <f t="shared" si="53"/>
        <v>4</v>
      </c>
      <c r="C418581" s="11">
        <f t="shared" si="54"/>
        <v>17</v>
      </c>
      <c r="D418581" s="5" t="s">
        <v>13</v>
      </c>
      <c r="E418581" s="11" t="s">
        <v>14</v>
      </c>
      <c r="F418581" s="9" t="s">
        <v>15</v>
      </c>
      <c r="G418581">
        <v>1</v>
      </c>
      <c r="J418581" s="7">
        <v>4.9969999999999999</v>
      </c>
      <c r="K418581" s="11">
        <f t="shared" si="52"/>
        <v>2026</v>
      </c>
      <c r="L418581" t="s">
        <v>25</v>
      </c>
      <c r="M418581" t="s">
        <v>17</v>
      </c>
    </row>
    <row r="418582" spans="1:13" x14ac:dyDescent="0.25">
      <c r="A418582" s="6">
        <v>46137.333333333336</v>
      </c>
      <c r="B418582" s="11">
        <f t="shared" si="53"/>
        <v>4</v>
      </c>
      <c r="C418582" s="11">
        <f t="shared" si="54"/>
        <v>17</v>
      </c>
      <c r="D418582" s="5" t="s">
        <v>18</v>
      </c>
      <c r="E418582" s="11" t="s">
        <v>14</v>
      </c>
      <c r="F418582" s="9" t="s">
        <v>15</v>
      </c>
      <c r="G418582">
        <v>1</v>
      </c>
      <c r="J418582" s="7">
        <v>17.984999999999999</v>
      </c>
      <c r="K418582" s="11">
        <f t="shared" si="52"/>
        <v>2026</v>
      </c>
      <c r="L418582" t="s">
        <v>25</v>
      </c>
      <c r="M418582" t="s">
        <v>17</v>
      </c>
    </row>
    <row r="418583" spans="1:13" x14ac:dyDescent="0.25">
      <c r="A418583" s="6">
        <v>46133.465277777781</v>
      </c>
      <c r="B418583" s="11">
        <f t="shared" si="53"/>
        <v>4</v>
      </c>
      <c r="C418583" s="11">
        <f t="shared" si="54"/>
        <v>17</v>
      </c>
      <c r="D418583" s="5" t="s">
        <v>23</v>
      </c>
      <c r="E418583" s="11" t="s">
        <v>14</v>
      </c>
      <c r="F418583" s="9" t="s">
        <v>22</v>
      </c>
      <c r="G418583">
        <v>1</v>
      </c>
      <c r="J418583" s="7">
        <v>0.85599999999999998</v>
      </c>
      <c r="K418583" s="11">
        <f t="shared" si="52"/>
        <v>2026</v>
      </c>
      <c r="L418583" t="s">
        <v>25</v>
      </c>
      <c r="M418583" t="s">
        <v>17</v>
      </c>
    </row>
    <row r="418584" spans="1:13" x14ac:dyDescent="0.25">
      <c r="A418584" s="6">
        <v>46133.083333333336</v>
      </c>
      <c r="B418584" s="11">
        <f t="shared" si="53"/>
        <v>4</v>
      </c>
      <c r="C418584" s="11">
        <f t="shared" si="54"/>
        <v>17</v>
      </c>
      <c r="D418584" s="5" t="s">
        <v>18</v>
      </c>
      <c r="E418584" s="11" t="s">
        <v>14</v>
      </c>
      <c r="F418584" s="9" t="s">
        <v>15</v>
      </c>
      <c r="G418584">
        <v>1</v>
      </c>
      <c r="J418584" s="7">
        <v>8.7590000000000003</v>
      </c>
      <c r="K418584" s="11">
        <f t="shared" si="52"/>
        <v>2026</v>
      </c>
      <c r="L418584" t="s">
        <v>25</v>
      </c>
      <c r="M418584" t="s">
        <v>17</v>
      </c>
    </row>
    <row r="418585" spans="1:13" x14ac:dyDescent="0.25">
      <c r="A418585" s="6">
        <v>46133</v>
      </c>
      <c r="B418585" s="11">
        <f t="shared" si="53"/>
        <v>4</v>
      </c>
      <c r="C418585" s="11">
        <f t="shared" si="54"/>
        <v>17</v>
      </c>
      <c r="D418585" s="5" t="s">
        <v>13</v>
      </c>
      <c r="E418585" s="11" t="s">
        <v>14</v>
      </c>
      <c r="F418585" s="9" t="s">
        <v>22</v>
      </c>
      <c r="G418585">
        <v>1</v>
      </c>
      <c r="J418585" s="7">
        <v>0.69799999999999995</v>
      </c>
      <c r="K418585" s="11">
        <f t="shared" si="52"/>
        <v>2026</v>
      </c>
      <c r="L418585" t="s">
        <v>25</v>
      </c>
      <c r="M418585" t="s">
        <v>17</v>
      </c>
    </row>
    <row r="418586" spans="1:13" x14ac:dyDescent="0.25">
      <c r="A418586" s="6">
        <v>46133.208333333336</v>
      </c>
      <c r="B418586" s="11">
        <f t="shared" si="53"/>
        <v>4</v>
      </c>
      <c r="C418586" s="11">
        <f t="shared" si="54"/>
        <v>17</v>
      </c>
      <c r="D418586" s="5" t="s">
        <v>13</v>
      </c>
      <c r="E418586" s="11" t="s">
        <v>14</v>
      </c>
      <c r="F418586" s="9" t="s">
        <v>15</v>
      </c>
      <c r="G418586">
        <v>1</v>
      </c>
      <c r="J418586" s="7">
        <v>0.46899999999999997</v>
      </c>
      <c r="K418586" s="11">
        <f t="shared" si="52"/>
        <v>2026</v>
      </c>
      <c r="L418586" t="s">
        <v>25</v>
      </c>
      <c r="M418586" t="s">
        <v>17</v>
      </c>
    </row>
    <row r="418587" spans="1:13" x14ac:dyDescent="0.25">
      <c r="A418587" s="6">
        <v>46133.208333333336</v>
      </c>
      <c r="B418587" s="11">
        <f t="shared" si="53"/>
        <v>4</v>
      </c>
      <c r="C418587" s="11">
        <f t="shared" si="54"/>
        <v>17</v>
      </c>
      <c r="D418587" s="5" t="s">
        <v>13</v>
      </c>
      <c r="E418587" s="11" t="s">
        <v>14</v>
      </c>
      <c r="F418587" s="9" t="s">
        <v>15</v>
      </c>
      <c r="G418587">
        <v>1</v>
      </c>
      <c r="J418587" s="7">
        <v>0.46899999999999997</v>
      </c>
      <c r="K418587" s="11">
        <f t="shared" si="52"/>
        <v>2026</v>
      </c>
      <c r="L418587" t="s">
        <v>25</v>
      </c>
      <c r="M418587" t="s">
        <v>17</v>
      </c>
    </row>
    <row r="418588" spans="1:13" x14ac:dyDescent="0.25">
      <c r="A418588" s="6">
        <v>46135.791666666664</v>
      </c>
      <c r="B418588" s="11">
        <f t="shared" si="53"/>
        <v>4</v>
      </c>
      <c r="C418588" s="11">
        <f t="shared" si="54"/>
        <v>17</v>
      </c>
      <c r="D418588" s="5" t="s">
        <v>19</v>
      </c>
      <c r="E418588" s="11" t="s">
        <v>14</v>
      </c>
      <c r="F418588" s="9" t="s">
        <v>22</v>
      </c>
      <c r="G418588">
        <v>1</v>
      </c>
      <c r="J418588" s="7">
        <v>1.69</v>
      </c>
      <c r="K418588" s="11">
        <f t="shared" si="52"/>
        <v>2026</v>
      </c>
      <c r="L418588" t="s">
        <v>25</v>
      </c>
      <c r="M418588" t="s">
        <v>17</v>
      </c>
    </row>
    <row r="418589" spans="1:13" x14ac:dyDescent="0.25">
      <c r="A418589" s="6">
        <v>46136.125</v>
      </c>
      <c r="B418589" s="11">
        <f t="shared" si="53"/>
        <v>4</v>
      </c>
      <c r="C418589" s="11">
        <f t="shared" si="54"/>
        <v>17</v>
      </c>
      <c r="D418589" s="5" t="s">
        <v>19</v>
      </c>
      <c r="E418589" s="11" t="s">
        <v>14</v>
      </c>
      <c r="F418589" s="9" t="s">
        <v>22</v>
      </c>
      <c r="G418589">
        <v>1</v>
      </c>
      <c r="J418589" s="7">
        <v>1.72</v>
      </c>
      <c r="K418589" s="11">
        <f t="shared" ref="K418589:K418652" si="55">YEAR(A418589)</f>
        <v>2026</v>
      </c>
      <c r="L418589" t="s">
        <v>25</v>
      </c>
      <c r="M418589" t="s">
        <v>17</v>
      </c>
    </row>
    <row r="418590" spans="1:13" x14ac:dyDescent="0.25">
      <c r="A418590" s="6">
        <v>46137.333333333336</v>
      </c>
      <c r="B418590" s="11">
        <f t="shared" si="53"/>
        <v>4</v>
      </c>
      <c r="C418590" s="11">
        <f t="shared" si="54"/>
        <v>17</v>
      </c>
      <c r="D418590" s="5" t="s">
        <v>18</v>
      </c>
      <c r="E418590" s="11" t="s">
        <v>14</v>
      </c>
      <c r="F418590" s="9" t="s">
        <v>15</v>
      </c>
      <c r="G418590">
        <v>1</v>
      </c>
      <c r="J418590" s="7">
        <v>2.59</v>
      </c>
      <c r="K418590" s="11">
        <f t="shared" si="55"/>
        <v>2026</v>
      </c>
      <c r="L418590" t="s">
        <v>25</v>
      </c>
      <c r="M418590" t="s">
        <v>17</v>
      </c>
    </row>
    <row r="418591" spans="1:13" x14ac:dyDescent="0.25">
      <c r="A418591" s="6">
        <v>46137.333333333336</v>
      </c>
      <c r="B418591" s="11">
        <f t="shared" si="53"/>
        <v>4</v>
      </c>
      <c r="C418591" s="11">
        <f t="shared" si="54"/>
        <v>17</v>
      </c>
      <c r="D418591" s="5" t="s">
        <v>18</v>
      </c>
      <c r="E418591" s="11" t="s">
        <v>14</v>
      </c>
      <c r="F418591" s="9" t="s">
        <v>15</v>
      </c>
      <c r="G418591">
        <v>1</v>
      </c>
      <c r="J418591" s="7">
        <v>0.75800000000000001</v>
      </c>
      <c r="K418591" s="11">
        <f t="shared" si="55"/>
        <v>2026</v>
      </c>
      <c r="L418591" t="s">
        <v>25</v>
      </c>
      <c r="M418591" t="s">
        <v>17</v>
      </c>
    </row>
    <row r="418592" spans="1:13" x14ac:dyDescent="0.25">
      <c r="A418592" s="6">
        <v>46137.333333333336</v>
      </c>
      <c r="B418592" s="11">
        <f t="shared" si="53"/>
        <v>4</v>
      </c>
      <c r="C418592" s="11">
        <f t="shared" si="54"/>
        <v>17</v>
      </c>
      <c r="D418592" s="5" t="s">
        <v>18</v>
      </c>
      <c r="E418592" s="11" t="s">
        <v>14</v>
      </c>
      <c r="F418592" s="9" t="s">
        <v>15</v>
      </c>
      <c r="G418592">
        <v>1</v>
      </c>
      <c r="J418592" s="7">
        <v>2.59</v>
      </c>
      <c r="K418592" s="11">
        <f t="shared" si="55"/>
        <v>2026</v>
      </c>
      <c r="L418592" t="s">
        <v>25</v>
      </c>
      <c r="M418592" t="s">
        <v>17</v>
      </c>
    </row>
    <row r="418593" spans="1:13" x14ac:dyDescent="0.25">
      <c r="A418593" s="6">
        <v>46137.333333333336</v>
      </c>
      <c r="B418593" s="11">
        <f t="shared" si="53"/>
        <v>4</v>
      </c>
      <c r="C418593" s="11">
        <f t="shared" si="54"/>
        <v>17</v>
      </c>
      <c r="D418593" s="5" t="s">
        <v>18</v>
      </c>
      <c r="E418593" s="11" t="s">
        <v>14</v>
      </c>
      <c r="F418593" s="9" t="s">
        <v>15</v>
      </c>
      <c r="G418593">
        <v>1</v>
      </c>
      <c r="J418593" s="7">
        <v>1.827</v>
      </c>
      <c r="K418593" s="11">
        <f t="shared" si="55"/>
        <v>2026</v>
      </c>
      <c r="L418593" t="s">
        <v>25</v>
      </c>
      <c r="M418593" t="s">
        <v>17</v>
      </c>
    </row>
    <row r="418594" spans="1:13" x14ac:dyDescent="0.25">
      <c r="A418594" s="6">
        <v>46137.333333333336</v>
      </c>
      <c r="B418594" s="11">
        <f t="shared" si="53"/>
        <v>4</v>
      </c>
      <c r="C418594" s="11">
        <f t="shared" si="54"/>
        <v>17</v>
      </c>
      <c r="D418594" s="5" t="s">
        <v>18</v>
      </c>
      <c r="E418594" s="11" t="s">
        <v>14</v>
      </c>
      <c r="F418594" s="9" t="s">
        <v>15</v>
      </c>
      <c r="G418594">
        <v>1</v>
      </c>
      <c r="J418594" s="7">
        <v>5.18</v>
      </c>
      <c r="K418594" s="11">
        <f t="shared" si="55"/>
        <v>2026</v>
      </c>
      <c r="L418594" t="s">
        <v>25</v>
      </c>
      <c r="M418594" t="s">
        <v>17</v>
      </c>
    </row>
    <row r="418595" spans="1:13" x14ac:dyDescent="0.25">
      <c r="A418595" s="6">
        <v>46134.958333333336</v>
      </c>
      <c r="B418595" s="11">
        <f t="shared" si="53"/>
        <v>4</v>
      </c>
      <c r="C418595" s="11">
        <f t="shared" si="54"/>
        <v>17</v>
      </c>
      <c r="D418595" s="5" t="s">
        <v>13</v>
      </c>
      <c r="E418595" s="11" t="s">
        <v>14</v>
      </c>
      <c r="F418595" s="9" t="s">
        <v>22</v>
      </c>
      <c r="G418595">
        <v>1</v>
      </c>
      <c r="J418595" s="7">
        <v>1.24</v>
      </c>
      <c r="K418595" s="11">
        <f t="shared" si="55"/>
        <v>2026</v>
      </c>
      <c r="L418595" t="s">
        <v>25</v>
      </c>
      <c r="M418595" t="s">
        <v>17</v>
      </c>
    </row>
    <row r="418596" spans="1:13" x14ac:dyDescent="0.25">
      <c r="A418596" s="6">
        <v>46134</v>
      </c>
      <c r="B418596" s="11">
        <f t="shared" si="53"/>
        <v>4</v>
      </c>
      <c r="C418596" s="11">
        <f t="shared" si="54"/>
        <v>17</v>
      </c>
      <c r="D418596" s="5" t="s">
        <v>19</v>
      </c>
      <c r="E418596" s="11" t="s">
        <v>14</v>
      </c>
      <c r="F418596" s="9" t="s">
        <v>22</v>
      </c>
      <c r="G418596">
        <v>1</v>
      </c>
      <c r="J418596" s="7">
        <v>5.3380000000000001</v>
      </c>
      <c r="K418596" s="11">
        <f t="shared" si="55"/>
        <v>2026</v>
      </c>
      <c r="L418596" t="s">
        <v>25</v>
      </c>
      <c r="M418596" t="s">
        <v>17</v>
      </c>
    </row>
    <row r="418597" spans="1:13" x14ac:dyDescent="0.25">
      <c r="A418597" s="6">
        <v>46133</v>
      </c>
      <c r="B418597" s="11">
        <f t="shared" si="53"/>
        <v>4</v>
      </c>
      <c r="C418597" s="11">
        <f t="shared" si="54"/>
        <v>17</v>
      </c>
      <c r="D418597" s="5" t="s">
        <v>21</v>
      </c>
      <c r="E418597" s="11" t="s">
        <v>14</v>
      </c>
      <c r="F418597" s="9" t="s">
        <v>22</v>
      </c>
      <c r="G418597">
        <v>1</v>
      </c>
      <c r="J418597" s="7">
        <v>0.66400000000000003</v>
      </c>
      <c r="K418597" s="11">
        <f t="shared" si="55"/>
        <v>2026</v>
      </c>
      <c r="L418597" t="s">
        <v>25</v>
      </c>
      <c r="M418597" t="s">
        <v>17</v>
      </c>
    </row>
    <row r="418598" spans="1:13" x14ac:dyDescent="0.25">
      <c r="A418598" s="6">
        <v>46137.333333333336</v>
      </c>
      <c r="B418598" s="11">
        <f t="shared" si="53"/>
        <v>4</v>
      </c>
      <c r="C418598" s="11">
        <f t="shared" si="54"/>
        <v>17</v>
      </c>
      <c r="D418598" s="5" t="s">
        <v>18</v>
      </c>
      <c r="E418598" s="11" t="s">
        <v>14</v>
      </c>
      <c r="F418598" s="9" t="s">
        <v>15</v>
      </c>
      <c r="G418598">
        <v>1</v>
      </c>
      <c r="J418598" s="7">
        <v>2.6859999999999999</v>
      </c>
      <c r="K418598" s="11">
        <f t="shared" si="55"/>
        <v>2026</v>
      </c>
      <c r="L418598" t="s">
        <v>25</v>
      </c>
      <c r="M418598" t="s">
        <v>17</v>
      </c>
    </row>
    <row r="418599" spans="1:13" x14ac:dyDescent="0.25">
      <c r="A418599" s="6">
        <v>46137.333333333336</v>
      </c>
      <c r="B418599" s="11">
        <f t="shared" si="53"/>
        <v>4</v>
      </c>
      <c r="C418599" s="11">
        <f t="shared" si="54"/>
        <v>17</v>
      </c>
      <c r="D418599" s="5" t="s">
        <v>18</v>
      </c>
      <c r="E418599" s="11" t="s">
        <v>14</v>
      </c>
      <c r="F418599" s="9" t="s">
        <v>15</v>
      </c>
      <c r="G418599">
        <v>1</v>
      </c>
      <c r="J418599" s="7">
        <v>3.24</v>
      </c>
      <c r="K418599" s="11">
        <f t="shared" si="55"/>
        <v>2026</v>
      </c>
      <c r="L418599" t="s">
        <v>25</v>
      </c>
      <c r="M418599" t="s">
        <v>17</v>
      </c>
    </row>
    <row r="418600" spans="1:13" x14ac:dyDescent="0.25">
      <c r="A418600" s="6">
        <v>46137</v>
      </c>
      <c r="B418600" s="11">
        <f t="shared" si="53"/>
        <v>4</v>
      </c>
      <c r="C418600" s="11">
        <f t="shared" si="54"/>
        <v>17</v>
      </c>
      <c r="D418600" s="5" t="s">
        <v>18</v>
      </c>
      <c r="E418600" s="11" t="s">
        <v>14</v>
      </c>
      <c r="F418600" s="9" t="s">
        <v>22</v>
      </c>
      <c r="G418600">
        <v>1</v>
      </c>
      <c r="J418600" s="7">
        <v>10.78</v>
      </c>
      <c r="K418600" s="11">
        <f t="shared" si="55"/>
        <v>2026</v>
      </c>
      <c r="L418600" t="s">
        <v>25</v>
      </c>
      <c r="M418600" t="s">
        <v>17</v>
      </c>
    </row>
    <row r="418601" spans="1:13" x14ac:dyDescent="0.25">
      <c r="A418601" s="6">
        <v>46136.166666666664</v>
      </c>
      <c r="B418601" s="11">
        <f t="shared" si="53"/>
        <v>4</v>
      </c>
      <c r="C418601" s="11">
        <f t="shared" si="54"/>
        <v>17</v>
      </c>
      <c r="D418601" s="5" t="s">
        <v>19</v>
      </c>
      <c r="E418601" s="11" t="s">
        <v>14</v>
      </c>
      <c r="F418601" s="9" t="s">
        <v>22</v>
      </c>
      <c r="G418601">
        <v>1</v>
      </c>
      <c r="J418601" s="7">
        <v>4</v>
      </c>
      <c r="K418601" s="11">
        <f t="shared" si="55"/>
        <v>2026</v>
      </c>
      <c r="L418601" t="s">
        <v>25</v>
      </c>
      <c r="M418601" t="s">
        <v>17</v>
      </c>
    </row>
    <row r="418602" spans="1:13" x14ac:dyDescent="0.25">
      <c r="A418602" s="6">
        <v>46134</v>
      </c>
      <c r="B418602" s="11">
        <f t="shared" si="53"/>
        <v>4</v>
      </c>
      <c r="C418602" s="11">
        <f t="shared" si="54"/>
        <v>17</v>
      </c>
      <c r="D418602" s="5" t="s">
        <v>20</v>
      </c>
      <c r="E418602" s="11" t="s">
        <v>14</v>
      </c>
      <c r="F418602" s="9" t="s">
        <v>22</v>
      </c>
      <c r="G418602">
        <v>1</v>
      </c>
      <c r="J418602" s="7">
        <v>9.1660000000000004</v>
      </c>
      <c r="K418602" s="11">
        <f t="shared" si="55"/>
        <v>2026</v>
      </c>
      <c r="L418602" t="s">
        <v>25</v>
      </c>
      <c r="M418602" t="s">
        <v>17</v>
      </c>
    </row>
    <row r="418603" spans="1:13" x14ac:dyDescent="0.25">
      <c r="A418603" s="6">
        <v>46131</v>
      </c>
      <c r="B418603" s="11">
        <f t="shared" ref="B418603:B418658" si="56">MONTH(A418603)</f>
        <v>4</v>
      </c>
      <c r="C418603" s="11">
        <f t="shared" ref="C418603:C418658" si="57">WEEKNUM(A418603)</f>
        <v>17</v>
      </c>
      <c r="D418603" s="5" t="s">
        <v>18</v>
      </c>
      <c r="E418603" s="11" t="s">
        <v>14</v>
      </c>
      <c r="F418603" s="9" t="s">
        <v>22</v>
      </c>
      <c r="G418603">
        <v>1</v>
      </c>
      <c r="J418603" s="7">
        <v>6.32</v>
      </c>
      <c r="K418603" s="11">
        <f t="shared" si="55"/>
        <v>2026</v>
      </c>
      <c r="L418603" t="s">
        <v>25</v>
      </c>
      <c r="M418603" t="s">
        <v>17</v>
      </c>
    </row>
    <row r="418604" spans="1:13" x14ac:dyDescent="0.25">
      <c r="A418604" s="6">
        <v>46133</v>
      </c>
      <c r="B418604" s="11">
        <f t="shared" si="56"/>
        <v>4</v>
      </c>
      <c r="C418604" s="11">
        <f t="shared" si="57"/>
        <v>17</v>
      </c>
      <c r="D418604" s="5" t="s">
        <v>19</v>
      </c>
      <c r="E418604" s="11" t="s">
        <v>14</v>
      </c>
      <c r="F418604" s="9" t="s">
        <v>22</v>
      </c>
      <c r="G418604">
        <v>1</v>
      </c>
      <c r="J418604" s="7">
        <v>1.28</v>
      </c>
      <c r="K418604" s="11">
        <f t="shared" si="55"/>
        <v>2026</v>
      </c>
      <c r="L418604" t="s">
        <v>25</v>
      </c>
      <c r="M418604" t="s">
        <v>17</v>
      </c>
    </row>
    <row r="418605" spans="1:13" x14ac:dyDescent="0.25">
      <c r="A418605" s="6">
        <v>46133.083333333336</v>
      </c>
      <c r="B418605" s="11">
        <f t="shared" si="56"/>
        <v>4</v>
      </c>
      <c r="C418605" s="11">
        <f t="shared" si="57"/>
        <v>17</v>
      </c>
      <c r="D418605" s="5" t="s">
        <v>13</v>
      </c>
      <c r="E418605" s="11" t="s">
        <v>14</v>
      </c>
      <c r="F418605" s="9" t="s">
        <v>15</v>
      </c>
      <c r="G418605">
        <v>1</v>
      </c>
      <c r="J418605" s="7">
        <v>11.04</v>
      </c>
      <c r="K418605" s="11">
        <f t="shared" si="55"/>
        <v>2026</v>
      </c>
      <c r="L418605" t="s">
        <v>25</v>
      </c>
      <c r="M418605" t="s">
        <v>17</v>
      </c>
    </row>
    <row r="418606" spans="1:13" x14ac:dyDescent="0.25">
      <c r="A418606" s="6">
        <v>46133</v>
      </c>
      <c r="B418606" s="11">
        <f t="shared" si="56"/>
        <v>4</v>
      </c>
      <c r="C418606" s="11">
        <f t="shared" si="57"/>
        <v>17</v>
      </c>
      <c r="D418606" s="5" t="s">
        <v>13</v>
      </c>
      <c r="E418606" s="11" t="s">
        <v>14</v>
      </c>
      <c r="F418606" s="9" t="s">
        <v>22</v>
      </c>
      <c r="G418606">
        <v>1</v>
      </c>
      <c r="J418606" s="7">
        <v>0.44700000000000001</v>
      </c>
      <c r="K418606" s="11">
        <f t="shared" si="55"/>
        <v>2026</v>
      </c>
      <c r="L418606" t="s">
        <v>25</v>
      </c>
      <c r="M418606" t="s">
        <v>17</v>
      </c>
    </row>
    <row r="418607" spans="1:13" x14ac:dyDescent="0.25">
      <c r="A418607" s="6">
        <v>46133.083333333336</v>
      </c>
      <c r="B418607" s="11">
        <f t="shared" si="56"/>
        <v>4</v>
      </c>
      <c r="C418607" s="11">
        <f t="shared" si="57"/>
        <v>17</v>
      </c>
      <c r="D418607" s="5" t="s">
        <v>13</v>
      </c>
      <c r="E418607" s="11" t="s">
        <v>14</v>
      </c>
      <c r="F418607" s="9" t="s">
        <v>15</v>
      </c>
      <c r="G418607">
        <v>1</v>
      </c>
      <c r="J418607" s="7">
        <v>2.29</v>
      </c>
      <c r="K418607" s="11">
        <f t="shared" si="55"/>
        <v>2026</v>
      </c>
      <c r="L418607" t="s">
        <v>25</v>
      </c>
      <c r="M418607" t="s">
        <v>17</v>
      </c>
    </row>
    <row r="418608" spans="1:13" x14ac:dyDescent="0.25">
      <c r="A418608" s="6">
        <v>46133.083333333336</v>
      </c>
      <c r="B418608" s="11">
        <f t="shared" si="56"/>
        <v>4</v>
      </c>
      <c r="C418608" s="11">
        <f t="shared" si="57"/>
        <v>17</v>
      </c>
      <c r="D418608" s="5" t="s">
        <v>18</v>
      </c>
      <c r="E418608" s="11" t="s">
        <v>14</v>
      </c>
      <c r="F418608" s="9" t="s">
        <v>15</v>
      </c>
      <c r="G418608">
        <v>1</v>
      </c>
      <c r="J418608" s="7">
        <v>10.53</v>
      </c>
      <c r="K418608" s="11">
        <f t="shared" si="55"/>
        <v>2026</v>
      </c>
      <c r="L418608" t="s">
        <v>25</v>
      </c>
      <c r="M418608" t="s">
        <v>17</v>
      </c>
    </row>
    <row r="418609" spans="1:13" x14ac:dyDescent="0.25">
      <c r="A418609" s="6">
        <v>46133.083333333336</v>
      </c>
      <c r="B418609" s="11">
        <f t="shared" si="56"/>
        <v>4</v>
      </c>
      <c r="C418609" s="11">
        <f t="shared" si="57"/>
        <v>17</v>
      </c>
      <c r="D418609" s="5" t="s">
        <v>13</v>
      </c>
      <c r="E418609" s="11" t="s">
        <v>14</v>
      </c>
      <c r="F418609" s="9" t="s">
        <v>15</v>
      </c>
      <c r="G418609">
        <v>1</v>
      </c>
      <c r="J418609" s="7">
        <v>4.5380000000000003</v>
      </c>
      <c r="K418609" s="11">
        <f t="shared" si="55"/>
        <v>2026</v>
      </c>
      <c r="L418609" t="s">
        <v>25</v>
      </c>
      <c r="M418609" t="s">
        <v>17</v>
      </c>
    </row>
    <row r="418610" spans="1:13" x14ac:dyDescent="0.25">
      <c r="A418610" s="6">
        <v>46133.083333333336</v>
      </c>
      <c r="B418610" s="11">
        <f t="shared" si="56"/>
        <v>4</v>
      </c>
      <c r="C418610" s="11">
        <f t="shared" si="57"/>
        <v>17</v>
      </c>
      <c r="D418610" s="5" t="s">
        <v>13</v>
      </c>
      <c r="E418610" s="11" t="s">
        <v>14</v>
      </c>
      <c r="F418610" s="9" t="s">
        <v>15</v>
      </c>
      <c r="G418610">
        <v>1</v>
      </c>
      <c r="J418610" s="7">
        <v>1</v>
      </c>
      <c r="K418610" s="11">
        <f t="shared" si="55"/>
        <v>2026</v>
      </c>
      <c r="L418610" t="s">
        <v>25</v>
      </c>
      <c r="M418610" t="s">
        <v>17</v>
      </c>
    </row>
    <row r="418611" spans="1:13" x14ac:dyDescent="0.25">
      <c r="A418611" s="6">
        <v>46131</v>
      </c>
      <c r="B418611" s="11">
        <f t="shared" si="56"/>
        <v>4</v>
      </c>
      <c r="C418611" s="11">
        <f t="shared" si="57"/>
        <v>17</v>
      </c>
      <c r="D418611" s="5" t="s">
        <v>13</v>
      </c>
      <c r="E418611" s="11" t="s">
        <v>14</v>
      </c>
      <c r="F418611" s="9" t="s">
        <v>22</v>
      </c>
      <c r="G418611">
        <v>1</v>
      </c>
      <c r="J418611" s="7">
        <v>6.28</v>
      </c>
      <c r="K418611" s="11">
        <f t="shared" si="55"/>
        <v>2026</v>
      </c>
      <c r="L418611" t="s">
        <v>25</v>
      </c>
      <c r="M418611" t="s">
        <v>17</v>
      </c>
    </row>
    <row r="418612" spans="1:13" x14ac:dyDescent="0.25">
      <c r="A418612" s="6">
        <v>46131</v>
      </c>
      <c r="B418612" s="11">
        <f t="shared" si="56"/>
        <v>4</v>
      </c>
      <c r="C418612" s="11">
        <f t="shared" si="57"/>
        <v>17</v>
      </c>
      <c r="D418612" s="5" t="s">
        <v>13</v>
      </c>
      <c r="E418612" s="11" t="s">
        <v>14</v>
      </c>
      <c r="F418612" s="9" t="s">
        <v>22</v>
      </c>
      <c r="G418612">
        <v>1</v>
      </c>
      <c r="J418612" s="7">
        <v>1.2</v>
      </c>
      <c r="K418612" s="11">
        <f t="shared" si="55"/>
        <v>2026</v>
      </c>
      <c r="L418612" t="s">
        <v>25</v>
      </c>
      <c r="M418612" t="s">
        <v>17</v>
      </c>
    </row>
    <row r="418613" spans="1:13" x14ac:dyDescent="0.25">
      <c r="A418613" s="6">
        <v>46131.291666666664</v>
      </c>
      <c r="B418613" s="11">
        <f t="shared" si="56"/>
        <v>4</v>
      </c>
      <c r="C418613" s="11">
        <f t="shared" si="57"/>
        <v>17</v>
      </c>
      <c r="D418613" s="5" t="s">
        <v>18</v>
      </c>
      <c r="E418613" s="11" t="s">
        <v>14</v>
      </c>
      <c r="F418613" s="9" t="s">
        <v>15</v>
      </c>
      <c r="G418613">
        <v>1</v>
      </c>
      <c r="J418613" s="7">
        <v>1.94</v>
      </c>
      <c r="K418613" s="11">
        <f t="shared" si="55"/>
        <v>2026</v>
      </c>
      <c r="L418613" t="s">
        <v>25</v>
      </c>
      <c r="M418613" t="s">
        <v>17</v>
      </c>
    </row>
    <row r="418614" spans="1:13" x14ac:dyDescent="0.25">
      <c r="A418614" s="6">
        <v>46131</v>
      </c>
      <c r="B418614" s="11">
        <f t="shared" si="56"/>
        <v>4</v>
      </c>
      <c r="C418614" s="11">
        <f t="shared" si="57"/>
        <v>17</v>
      </c>
      <c r="D418614" s="5" t="s">
        <v>18</v>
      </c>
      <c r="E418614" s="11" t="s">
        <v>14</v>
      </c>
      <c r="F418614" s="9" t="s">
        <v>22</v>
      </c>
      <c r="G418614">
        <v>1</v>
      </c>
      <c r="J418614" s="7">
        <v>7.71</v>
      </c>
      <c r="K418614" s="11">
        <f t="shared" si="55"/>
        <v>2026</v>
      </c>
      <c r="L418614" t="s">
        <v>25</v>
      </c>
      <c r="M418614" t="s">
        <v>17</v>
      </c>
    </row>
    <row r="418615" spans="1:13" x14ac:dyDescent="0.25">
      <c r="A418615" s="6">
        <v>46131</v>
      </c>
      <c r="B418615" s="11">
        <f t="shared" si="56"/>
        <v>4</v>
      </c>
      <c r="C418615" s="11">
        <f t="shared" si="57"/>
        <v>17</v>
      </c>
      <c r="D418615" s="5" t="s">
        <v>19</v>
      </c>
      <c r="E418615" s="11" t="s">
        <v>14</v>
      </c>
      <c r="F418615" s="9" t="s">
        <v>22</v>
      </c>
      <c r="G418615">
        <v>1</v>
      </c>
      <c r="J418615" s="7">
        <v>0.9</v>
      </c>
      <c r="K418615" s="11">
        <f t="shared" si="55"/>
        <v>2026</v>
      </c>
      <c r="L418615" t="s">
        <v>25</v>
      </c>
      <c r="M418615" t="s">
        <v>17</v>
      </c>
    </row>
    <row r="418616" spans="1:13" x14ac:dyDescent="0.25">
      <c r="A418616" s="6">
        <v>46133.083333333336</v>
      </c>
      <c r="B418616" s="11">
        <f t="shared" si="56"/>
        <v>4</v>
      </c>
      <c r="C418616" s="11">
        <f t="shared" si="57"/>
        <v>17</v>
      </c>
      <c r="D418616" s="5" t="s">
        <v>13</v>
      </c>
      <c r="E418616" s="11" t="s">
        <v>14</v>
      </c>
      <c r="F418616" s="9" t="s">
        <v>15</v>
      </c>
      <c r="G418616">
        <v>1</v>
      </c>
      <c r="J418616" s="7">
        <v>6.7789999999999999</v>
      </c>
      <c r="K418616" s="11">
        <f t="shared" si="55"/>
        <v>2026</v>
      </c>
      <c r="L418616" t="s">
        <v>25</v>
      </c>
      <c r="M418616" t="s">
        <v>17</v>
      </c>
    </row>
    <row r="418617" spans="1:13" x14ac:dyDescent="0.25">
      <c r="A418617" s="6">
        <v>46133.083333333336</v>
      </c>
      <c r="B418617" s="11">
        <f t="shared" si="56"/>
        <v>4</v>
      </c>
      <c r="C418617" s="11">
        <f t="shared" si="57"/>
        <v>17</v>
      </c>
      <c r="D418617" s="5" t="s">
        <v>13</v>
      </c>
      <c r="E418617" s="11" t="s">
        <v>14</v>
      </c>
      <c r="F418617" s="9" t="s">
        <v>15</v>
      </c>
      <c r="G418617">
        <v>1</v>
      </c>
      <c r="J418617" s="7">
        <v>5.5</v>
      </c>
      <c r="K418617" s="11">
        <f t="shared" si="55"/>
        <v>2026</v>
      </c>
      <c r="L418617" t="s">
        <v>25</v>
      </c>
      <c r="M418617" t="s">
        <v>17</v>
      </c>
    </row>
    <row r="418618" spans="1:13" x14ac:dyDescent="0.25">
      <c r="A418618" s="6">
        <v>46133</v>
      </c>
      <c r="B418618" s="11">
        <f t="shared" si="56"/>
        <v>4</v>
      </c>
      <c r="C418618" s="11">
        <f t="shared" si="57"/>
        <v>17</v>
      </c>
      <c r="D418618" s="5" t="s">
        <v>19</v>
      </c>
      <c r="E418618" s="11" t="s">
        <v>14</v>
      </c>
      <c r="F418618" s="9" t="s">
        <v>22</v>
      </c>
      <c r="G418618">
        <v>1</v>
      </c>
      <c r="J418618" s="7">
        <v>2.14</v>
      </c>
      <c r="K418618" s="11">
        <f t="shared" si="55"/>
        <v>2026</v>
      </c>
      <c r="L418618" t="s">
        <v>25</v>
      </c>
      <c r="M418618" t="s">
        <v>17</v>
      </c>
    </row>
    <row r="418619" spans="1:13" x14ac:dyDescent="0.25">
      <c r="A418619" s="6">
        <v>46133.083333333336</v>
      </c>
      <c r="B418619" s="11">
        <f t="shared" si="56"/>
        <v>4</v>
      </c>
      <c r="C418619" s="11">
        <f t="shared" si="57"/>
        <v>17</v>
      </c>
      <c r="D418619" s="5" t="s">
        <v>13</v>
      </c>
      <c r="E418619" s="11" t="s">
        <v>14</v>
      </c>
      <c r="F418619" s="9" t="s">
        <v>15</v>
      </c>
      <c r="G418619">
        <v>1</v>
      </c>
      <c r="J418619" s="7">
        <v>0.01</v>
      </c>
      <c r="K418619" s="11">
        <f t="shared" si="55"/>
        <v>2026</v>
      </c>
      <c r="L418619" t="s">
        <v>25</v>
      </c>
      <c r="M418619" t="s">
        <v>17</v>
      </c>
    </row>
    <row r="418620" spans="1:13" x14ac:dyDescent="0.25">
      <c r="A418620" s="6">
        <v>46134</v>
      </c>
      <c r="B418620" s="11">
        <f t="shared" si="56"/>
        <v>4</v>
      </c>
      <c r="C418620" s="11">
        <f t="shared" si="57"/>
        <v>17</v>
      </c>
      <c r="D418620" s="5" t="s">
        <v>21</v>
      </c>
      <c r="E418620" s="11" t="s">
        <v>14</v>
      </c>
      <c r="F418620" s="9" t="s">
        <v>22</v>
      </c>
      <c r="G418620">
        <v>1</v>
      </c>
      <c r="J418620" s="7">
        <v>2.5</v>
      </c>
      <c r="K418620" s="11">
        <f t="shared" si="55"/>
        <v>2026</v>
      </c>
      <c r="L418620" t="s">
        <v>25</v>
      </c>
      <c r="M418620" t="s">
        <v>17</v>
      </c>
    </row>
    <row r="418621" spans="1:13" x14ac:dyDescent="0.25">
      <c r="A418621" s="6">
        <v>46134</v>
      </c>
      <c r="B418621" s="11">
        <f t="shared" si="56"/>
        <v>4</v>
      </c>
      <c r="C418621" s="11">
        <f t="shared" si="57"/>
        <v>17</v>
      </c>
      <c r="D418621" s="5" t="s">
        <v>19</v>
      </c>
      <c r="E418621" s="11" t="s">
        <v>14</v>
      </c>
      <c r="F418621" s="9" t="s">
        <v>22</v>
      </c>
      <c r="G418621">
        <v>1</v>
      </c>
      <c r="J418621" s="7">
        <v>3.42</v>
      </c>
      <c r="K418621" s="11">
        <f t="shared" si="55"/>
        <v>2026</v>
      </c>
      <c r="L418621" t="s">
        <v>25</v>
      </c>
      <c r="M418621" t="s">
        <v>17</v>
      </c>
    </row>
    <row r="418622" spans="1:13" x14ac:dyDescent="0.25">
      <c r="A418622" s="6">
        <v>46133.083333333336</v>
      </c>
      <c r="B418622" s="11">
        <f t="shared" si="56"/>
        <v>4</v>
      </c>
      <c r="C418622" s="11">
        <f t="shared" si="57"/>
        <v>17</v>
      </c>
      <c r="D418622" s="5" t="s">
        <v>13</v>
      </c>
      <c r="E418622" s="11" t="s">
        <v>14</v>
      </c>
      <c r="F418622" s="9" t="s">
        <v>15</v>
      </c>
      <c r="G418622">
        <v>1</v>
      </c>
      <c r="J418622" s="7">
        <v>4.9400000000000004</v>
      </c>
      <c r="K418622" s="11">
        <f t="shared" si="55"/>
        <v>2026</v>
      </c>
      <c r="L418622" t="s">
        <v>25</v>
      </c>
      <c r="M418622" t="s">
        <v>17</v>
      </c>
    </row>
    <row r="418623" spans="1:13" x14ac:dyDescent="0.25">
      <c r="A418623" s="6">
        <v>46131.291666666664</v>
      </c>
      <c r="B418623" s="11">
        <f t="shared" si="56"/>
        <v>4</v>
      </c>
      <c r="C418623" s="11">
        <f t="shared" si="57"/>
        <v>17</v>
      </c>
      <c r="D418623" s="5" t="s">
        <v>18</v>
      </c>
      <c r="E418623" s="11" t="s">
        <v>14</v>
      </c>
      <c r="F418623" s="9" t="s">
        <v>15</v>
      </c>
      <c r="G418623">
        <v>1</v>
      </c>
      <c r="J418623" s="7">
        <v>4.17</v>
      </c>
      <c r="K418623" s="11">
        <f t="shared" si="55"/>
        <v>2026</v>
      </c>
      <c r="L418623" t="s">
        <v>25</v>
      </c>
      <c r="M418623" t="s">
        <v>17</v>
      </c>
    </row>
    <row r="418624" spans="1:13" x14ac:dyDescent="0.25">
      <c r="A418624" s="6">
        <v>46137.540277777778</v>
      </c>
      <c r="B418624" s="11">
        <f t="shared" si="56"/>
        <v>4</v>
      </c>
      <c r="C418624" s="11">
        <f t="shared" si="57"/>
        <v>17</v>
      </c>
      <c r="D418624" s="5" t="s">
        <v>18</v>
      </c>
      <c r="E418624" s="11" t="s">
        <v>14</v>
      </c>
      <c r="F418624" s="9" t="s">
        <v>22</v>
      </c>
      <c r="G418624">
        <v>1</v>
      </c>
      <c r="J418624" s="7">
        <v>7.758</v>
      </c>
      <c r="K418624" s="11">
        <f t="shared" si="55"/>
        <v>2026</v>
      </c>
      <c r="L418624" t="s">
        <v>25</v>
      </c>
      <c r="M418624" t="s">
        <v>17</v>
      </c>
    </row>
    <row r="418625" spans="1:13" x14ac:dyDescent="0.25">
      <c r="A418625" s="6">
        <v>46134</v>
      </c>
      <c r="B418625" s="11">
        <f t="shared" si="56"/>
        <v>4</v>
      </c>
      <c r="C418625" s="11">
        <f t="shared" si="57"/>
        <v>17</v>
      </c>
      <c r="D418625" s="5" t="s">
        <v>21</v>
      </c>
      <c r="E418625" s="11" t="s">
        <v>14</v>
      </c>
      <c r="F418625" s="9" t="s">
        <v>22</v>
      </c>
      <c r="G418625">
        <v>1</v>
      </c>
      <c r="J418625" s="7">
        <v>1.1000000000000001</v>
      </c>
      <c r="K418625" s="11">
        <f t="shared" si="55"/>
        <v>2026</v>
      </c>
      <c r="L418625" t="s">
        <v>25</v>
      </c>
      <c r="M418625" t="s">
        <v>17</v>
      </c>
    </row>
    <row r="418626" spans="1:13" x14ac:dyDescent="0.25">
      <c r="A418626" s="6">
        <v>46136</v>
      </c>
      <c r="B418626" s="11">
        <f t="shared" si="56"/>
        <v>4</v>
      </c>
      <c r="C418626" s="11">
        <f t="shared" si="57"/>
        <v>17</v>
      </c>
      <c r="D418626" s="5" t="s">
        <v>24</v>
      </c>
      <c r="E418626" s="11" t="s">
        <v>14</v>
      </c>
      <c r="F418626" s="9" t="s">
        <v>22</v>
      </c>
      <c r="G418626">
        <v>1</v>
      </c>
      <c r="J418626" s="7">
        <v>1.71</v>
      </c>
      <c r="K418626" s="11">
        <f t="shared" si="55"/>
        <v>2026</v>
      </c>
      <c r="L418626" t="s">
        <v>25</v>
      </c>
      <c r="M418626" t="s">
        <v>17</v>
      </c>
    </row>
    <row r="418627" spans="1:13" x14ac:dyDescent="0.25">
      <c r="A418627" s="6">
        <v>46132.554861111108</v>
      </c>
      <c r="B418627" s="11">
        <f t="shared" si="56"/>
        <v>4</v>
      </c>
      <c r="C418627" s="11">
        <f t="shared" si="57"/>
        <v>17</v>
      </c>
      <c r="D418627" s="5" t="s">
        <v>20</v>
      </c>
      <c r="E418627" s="11" t="s">
        <v>14</v>
      </c>
      <c r="F418627" s="9" t="s">
        <v>22</v>
      </c>
      <c r="G418627">
        <v>1</v>
      </c>
      <c r="J418627" s="7">
        <v>7.6639999999999997</v>
      </c>
      <c r="K418627" s="11">
        <f t="shared" si="55"/>
        <v>2026</v>
      </c>
      <c r="L418627" t="s">
        <v>25</v>
      </c>
      <c r="M418627" t="s">
        <v>17</v>
      </c>
    </row>
    <row r="418628" spans="1:13" x14ac:dyDescent="0.25">
      <c r="A418628" s="6">
        <v>46133</v>
      </c>
      <c r="B418628" s="11">
        <f t="shared" si="56"/>
        <v>4</v>
      </c>
      <c r="C418628" s="11">
        <f t="shared" si="57"/>
        <v>17</v>
      </c>
      <c r="D418628" s="5" t="s">
        <v>21</v>
      </c>
      <c r="E418628" s="11" t="s">
        <v>14</v>
      </c>
      <c r="F418628" s="9" t="s">
        <v>22</v>
      </c>
      <c r="G418628">
        <v>1</v>
      </c>
      <c r="J418628" s="7">
        <v>1.9570000000000001</v>
      </c>
      <c r="K418628" s="11">
        <f t="shared" si="55"/>
        <v>2026</v>
      </c>
      <c r="L418628" t="s">
        <v>25</v>
      </c>
      <c r="M418628" t="s">
        <v>17</v>
      </c>
    </row>
    <row r="418629" spans="1:13" x14ac:dyDescent="0.25">
      <c r="A418629" s="6">
        <v>46133</v>
      </c>
      <c r="B418629" s="11">
        <f t="shared" si="56"/>
        <v>4</v>
      </c>
      <c r="C418629" s="11">
        <f t="shared" si="57"/>
        <v>17</v>
      </c>
      <c r="D418629" s="5" t="s">
        <v>13</v>
      </c>
      <c r="E418629" s="11" t="s">
        <v>14</v>
      </c>
      <c r="F418629" s="9" t="s">
        <v>22</v>
      </c>
      <c r="G418629">
        <v>1</v>
      </c>
      <c r="J418629" s="7">
        <v>1.5469999999999999</v>
      </c>
      <c r="K418629" s="11">
        <f t="shared" si="55"/>
        <v>2026</v>
      </c>
      <c r="L418629" t="s">
        <v>25</v>
      </c>
      <c r="M418629" t="s">
        <v>17</v>
      </c>
    </row>
    <row r="418630" spans="1:13" x14ac:dyDescent="0.25">
      <c r="A418630" s="6">
        <v>46133.166666666664</v>
      </c>
      <c r="B418630" s="11">
        <f t="shared" si="56"/>
        <v>4</v>
      </c>
      <c r="C418630" s="11">
        <f t="shared" si="57"/>
        <v>17</v>
      </c>
      <c r="D418630" s="5" t="s">
        <v>13</v>
      </c>
      <c r="E418630" s="11" t="s">
        <v>14</v>
      </c>
      <c r="F418630" s="9" t="s">
        <v>22</v>
      </c>
      <c r="G418630">
        <v>1</v>
      </c>
      <c r="J418630" s="7">
        <v>2.8959999999999999</v>
      </c>
      <c r="K418630" s="11">
        <f t="shared" si="55"/>
        <v>2026</v>
      </c>
      <c r="L418630" t="s">
        <v>25</v>
      </c>
      <c r="M418630" t="s">
        <v>17</v>
      </c>
    </row>
    <row r="418631" spans="1:13" x14ac:dyDescent="0.25">
      <c r="A418631" s="6">
        <v>46133.166666666664</v>
      </c>
      <c r="B418631" s="11">
        <f t="shared" si="56"/>
        <v>4</v>
      </c>
      <c r="C418631" s="11">
        <f t="shared" si="57"/>
        <v>17</v>
      </c>
      <c r="D418631" s="5" t="s">
        <v>13</v>
      </c>
      <c r="E418631" s="11" t="s">
        <v>14</v>
      </c>
      <c r="F418631" s="9" t="s">
        <v>22</v>
      </c>
      <c r="G418631">
        <v>1</v>
      </c>
      <c r="J418631" s="7">
        <v>1.448</v>
      </c>
      <c r="K418631" s="11">
        <f t="shared" si="55"/>
        <v>2026</v>
      </c>
      <c r="L418631" t="s">
        <v>25</v>
      </c>
      <c r="M418631" t="s">
        <v>17</v>
      </c>
    </row>
    <row r="418632" spans="1:13" x14ac:dyDescent="0.25">
      <c r="A418632" s="6">
        <v>46133.041666666664</v>
      </c>
      <c r="B418632" s="11">
        <f t="shared" si="56"/>
        <v>4</v>
      </c>
      <c r="C418632" s="11">
        <f t="shared" si="57"/>
        <v>17</v>
      </c>
      <c r="D418632" s="5" t="s">
        <v>13</v>
      </c>
      <c r="E418632" s="11" t="s">
        <v>14</v>
      </c>
      <c r="F418632" s="9" t="s">
        <v>22</v>
      </c>
      <c r="G418632">
        <v>1</v>
      </c>
      <c r="J418632" s="7">
        <v>1.411</v>
      </c>
      <c r="K418632" s="11">
        <f t="shared" si="55"/>
        <v>2026</v>
      </c>
      <c r="L418632" t="s">
        <v>25</v>
      </c>
      <c r="M418632" t="s">
        <v>17</v>
      </c>
    </row>
    <row r="418633" spans="1:13" x14ac:dyDescent="0.25">
      <c r="A418633" s="6">
        <v>46133</v>
      </c>
      <c r="B418633" s="11">
        <f t="shared" si="56"/>
        <v>4</v>
      </c>
      <c r="C418633" s="11">
        <f t="shared" si="57"/>
        <v>17</v>
      </c>
      <c r="D418633" s="5" t="s">
        <v>13</v>
      </c>
      <c r="E418633" s="11" t="s">
        <v>14</v>
      </c>
      <c r="F418633" s="9" t="s">
        <v>22</v>
      </c>
      <c r="G418633">
        <v>1</v>
      </c>
      <c r="J418633" s="7">
        <v>4.91</v>
      </c>
      <c r="K418633" s="11">
        <f t="shared" si="55"/>
        <v>2026</v>
      </c>
      <c r="L418633" t="s">
        <v>25</v>
      </c>
      <c r="M418633" t="s">
        <v>17</v>
      </c>
    </row>
    <row r="418634" spans="1:13" x14ac:dyDescent="0.25">
      <c r="A418634" s="6">
        <v>46133.166666666664</v>
      </c>
      <c r="B418634" s="11">
        <f t="shared" si="56"/>
        <v>4</v>
      </c>
      <c r="C418634" s="11">
        <f t="shared" si="57"/>
        <v>17</v>
      </c>
      <c r="D418634" s="5" t="s">
        <v>13</v>
      </c>
      <c r="E418634" s="11" t="s">
        <v>14</v>
      </c>
      <c r="F418634" s="9" t="s">
        <v>22</v>
      </c>
      <c r="G418634">
        <v>1</v>
      </c>
      <c r="J418634" s="7">
        <v>4.4530000000000003</v>
      </c>
      <c r="K418634" s="11">
        <f t="shared" si="55"/>
        <v>2026</v>
      </c>
      <c r="L418634" t="s">
        <v>25</v>
      </c>
      <c r="M418634" t="s">
        <v>17</v>
      </c>
    </row>
    <row r="418635" spans="1:13" x14ac:dyDescent="0.25">
      <c r="A418635" s="6">
        <v>46131</v>
      </c>
      <c r="B418635" s="11">
        <f t="shared" si="56"/>
        <v>4</v>
      </c>
      <c r="C418635" s="11">
        <f t="shared" si="57"/>
        <v>17</v>
      </c>
      <c r="D418635" s="5" t="s">
        <v>13</v>
      </c>
      <c r="E418635" s="11" t="s">
        <v>14</v>
      </c>
      <c r="F418635" s="9" t="s">
        <v>22</v>
      </c>
      <c r="G418635">
        <v>1</v>
      </c>
      <c r="J418635" s="7">
        <v>1.9350000000000001</v>
      </c>
      <c r="K418635" s="11">
        <f t="shared" si="55"/>
        <v>2026</v>
      </c>
      <c r="L418635" t="s">
        <v>25</v>
      </c>
      <c r="M418635" t="s">
        <v>17</v>
      </c>
    </row>
    <row r="418636" spans="1:13" x14ac:dyDescent="0.25">
      <c r="A418636" s="6">
        <v>46131</v>
      </c>
      <c r="B418636" s="11">
        <f t="shared" si="56"/>
        <v>4</v>
      </c>
      <c r="C418636" s="11">
        <f t="shared" si="57"/>
        <v>17</v>
      </c>
      <c r="D418636" s="5" t="s">
        <v>13</v>
      </c>
      <c r="E418636" s="11" t="s">
        <v>14</v>
      </c>
      <c r="F418636" s="9" t="s">
        <v>22</v>
      </c>
      <c r="G418636">
        <v>1</v>
      </c>
      <c r="J418636" s="7">
        <v>0.96899999999999997</v>
      </c>
      <c r="K418636" s="11">
        <f t="shared" si="55"/>
        <v>2026</v>
      </c>
      <c r="L418636" t="s">
        <v>25</v>
      </c>
      <c r="M418636" t="s">
        <v>17</v>
      </c>
    </row>
    <row r="418637" spans="1:13" x14ac:dyDescent="0.25">
      <c r="A418637" s="6">
        <v>46131</v>
      </c>
      <c r="B418637" s="11">
        <f t="shared" si="56"/>
        <v>4</v>
      </c>
      <c r="C418637" s="11">
        <f t="shared" si="57"/>
        <v>17</v>
      </c>
      <c r="D418637" s="5" t="s">
        <v>13</v>
      </c>
      <c r="E418637" s="11" t="s">
        <v>14</v>
      </c>
      <c r="F418637" s="9" t="s">
        <v>22</v>
      </c>
      <c r="G418637">
        <v>1</v>
      </c>
      <c r="J418637" s="7">
        <v>2.3620000000000001</v>
      </c>
      <c r="K418637" s="11">
        <f t="shared" si="55"/>
        <v>2026</v>
      </c>
      <c r="L418637" t="s">
        <v>25</v>
      </c>
      <c r="M418637" t="s">
        <v>17</v>
      </c>
    </row>
    <row r="418638" spans="1:13" x14ac:dyDescent="0.25">
      <c r="A418638" s="6">
        <v>46133</v>
      </c>
      <c r="B418638" s="11">
        <f t="shared" si="56"/>
        <v>4</v>
      </c>
      <c r="C418638" s="11">
        <f t="shared" si="57"/>
        <v>17</v>
      </c>
      <c r="D418638" s="5" t="s">
        <v>18</v>
      </c>
      <c r="E418638" s="11" t="s">
        <v>14</v>
      </c>
      <c r="F418638" s="9" t="s">
        <v>22</v>
      </c>
      <c r="G418638">
        <v>1</v>
      </c>
      <c r="J418638" s="7">
        <v>2.6760000000000002</v>
      </c>
      <c r="K418638" s="11">
        <f t="shared" si="55"/>
        <v>2026</v>
      </c>
      <c r="L418638" t="s">
        <v>25</v>
      </c>
      <c r="M418638" t="s">
        <v>17</v>
      </c>
    </row>
    <row r="418639" spans="1:13" x14ac:dyDescent="0.25">
      <c r="A418639" s="6">
        <v>46137</v>
      </c>
      <c r="B418639" s="11">
        <f t="shared" si="56"/>
        <v>4</v>
      </c>
      <c r="C418639" s="11">
        <f t="shared" si="57"/>
        <v>17</v>
      </c>
      <c r="D418639" s="5" t="s">
        <v>13</v>
      </c>
      <c r="E418639" s="11" t="s">
        <v>14</v>
      </c>
      <c r="F418639" s="9" t="s">
        <v>22</v>
      </c>
      <c r="G418639">
        <v>1</v>
      </c>
      <c r="J418639" s="7">
        <v>7.0750000000000002</v>
      </c>
      <c r="K418639" s="11">
        <f t="shared" si="55"/>
        <v>2026</v>
      </c>
      <c r="L418639" t="s">
        <v>25</v>
      </c>
      <c r="M418639" t="s">
        <v>17</v>
      </c>
    </row>
    <row r="418640" spans="1:13" x14ac:dyDescent="0.25">
      <c r="A418640" s="6">
        <v>46134.818749999999</v>
      </c>
      <c r="B418640" s="11">
        <f t="shared" si="56"/>
        <v>4</v>
      </c>
      <c r="C418640" s="11">
        <f t="shared" si="57"/>
        <v>17</v>
      </c>
      <c r="D418640" s="5" t="s">
        <v>18</v>
      </c>
      <c r="E418640" s="11" t="s">
        <v>14</v>
      </c>
      <c r="F418640" s="9" t="s">
        <v>22</v>
      </c>
      <c r="G418640">
        <v>1</v>
      </c>
      <c r="J418640" s="7">
        <v>10.058999999999999</v>
      </c>
      <c r="K418640" s="11">
        <f t="shared" si="55"/>
        <v>2026</v>
      </c>
      <c r="L418640" t="s">
        <v>25</v>
      </c>
      <c r="M418640" t="s">
        <v>17</v>
      </c>
    </row>
    <row r="418641" spans="1:13" x14ac:dyDescent="0.25">
      <c r="A418641" s="6">
        <v>46137</v>
      </c>
      <c r="B418641" s="11">
        <f t="shared" si="56"/>
        <v>4</v>
      </c>
      <c r="C418641" s="11">
        <f t="shared" si="57"/>
        <v>17</v>
      </c>
      <c r="D418641" s="5" t="s">
        <v>18</v>
      </c>
      <c r="E418641" s="11" t="s">
        <v>14</v>
      </c>
      <c r="F418641" s="9" t="s">
        <v>22</v>
      </c>
      <c r="G418641">
        <v>1</v>
      </c>
      <c r="J418641" s="7">
        <v>5.2850000000000001</v>
      </c>
      <c r="K418641" s="11">
        <f t="shared" si="55"/>
        <v>2026</v>
      </c>
      <c r="L418641" t="s">
        <v>25</v>
      </c>
      <c r="M418641" t="s">
        <v>17</v>
      </c>
    </row>
    <row r="418642" spans="1:13" x14ac:dyDescent="0.25">
      <c r="A418642" s="6">
        <v>46133.083333333336</v>
      </c>
      <c r="B418642" s="11">
        <f t="shared" si="56"/>
        <v>4</v>
      </c>
      <c r="C418642" s="11">
        <f t="shared" si="57"/>
        <v>17</v>
      </c>
      <c r="D418642" s="5" t="s">
        <v>13</v>
      </c>
      <c r="E418642" s="11" t="s">
        <v>14</v>
      </c>
      <c r="F418642" s="9" t="s">
        <v>15</v>
      </c>
      <c r="G418642">
        <v>1</v>
      </c>
      <c r="J418642" s="7">
        <v>3.81</v>
      </c>
      <c r="K418642" s="11">
        <f t="shared" si="55"/>
        <v>2026</v>
      </c>
      <c r="L418642" t="s">
        <v>25</v>
      </c>
      <c r="M418642" t="s">
        <v>17</v>
      </c>
    </row>
    <row r="418643" spans="1:13" x14ac:dyDescent="0.25">
      <c r="A418643" s="6">
        <v>46133.083333333336</v>
      </c>
      <c r="B418643" s="11">
        <f t="shared" si="56"/>
        <v>4</v>
      </c>
      <c r="C418643" s="11">
        <f t="shared" si="57"/>
        <v>17</v>
      </c>
      <c r="D418643" s="5" t="s">
        <v>13</v>
      </c>
      <c r="E418643" s="11" t="s">
        <v>14</v>
      </c>
      <c r="F418643" s="9" t="s">
        <v>15</v>
      </c>
      <c r="G418643">
        <v>1</v>
      </c>
      <c r="J418643" s="7">
        <v>13.33</v>
      </c>
      <c r="K418643" s="11">
        <f t="shared" si="55"/>
        <v>2026</v>
      </c>
      <c r="L418643" t="s">
        <v>25</v>
      </c>
      <c r="M418643" t="s">
        <v>17</v>
      </c>
    </row>
    <row r="418644" spans="1:13" x14ac:dyDescent="0.25">
      <c r="A418644" s="6">
        <v>46137</v>
      </c>
      <c r="B418644" s="11">
        <f t="shared" si="56"/>
        <v>4</v>
      </c>
      <c r="C418644" s="11">
        <f t="shared" si="57"/>
        <v>17</v>
      </c>
      <c r="D418644" s="5" t="s">
        <v>18</v>
      </c>
      <c r="E418644" s="11" t="s">
        <v>14</v>
      </c>
      <c r="F418644" s="9" t="s">
        <v>22</v>
      </c>
      <c r="G418644">
        <v>1</v>
      </c>
      <c r="J418644" s="7">
        <v>1.79</v>
      </c>
      <c r="K418644" s="11">
        <f t="shared" si="55"/>
        <v>2026</v>
      </c>
      <c r="L418644" t="s">
        <v>25</v>
      </c>
      <c r="M418644" t="s">
        <v>17</v>
      </c>
    </row>
    <row r="418645" spans="1:13" x14ac:dyDescent="0.25">
      <c r="A418645" s="6">
        <v>46135.604166666664</v>
      </c>
      <c r="B418645" s="11">
        <f t="shared" si="56"/>
        <v>4</v>
      </c>
      <c r="C418645" s="11">
        <f t="shared" si="57"/>
        <v>17</v>
      </c>
      <c r="D418645" s="5" t="s">
        <v>20</v>
      </c>
      <c r="E418645" s="11" t="s">
        <v>14</v>
      </c>
      <c r="F418645" s="9" t="s">
        <v>22</v>
      </c>
      <c r="G418645">
        <v>1</v>
      </c>
      <c r="J418645" s="7">
        <v>0.54</v>
      </c>
      <c r="K418645" s="11">
        <f t="shared" si="55"/>
        <v>2026</v>
      </c>
      <c r="L418645" t="s">
        <v>25</v>
      </c>
      <c r="M418645" t="s">
        <v>17</v>
      </c>
    </row>
    <row r="418646" spans="1:13" x14ac:dyDescent="0.25">
      <c r="A418646" s="6">
        <v>46132.958333333336</v>
      </c>
      <c r="B418646" s="11">
        <f t="shared" si="56"/>
        <v>4</v>
      </c>
      <c r="C418646" s="11">
        <f t="shared" si="57"/>
        <v>17</v>
      </c>
      <c r="D418646" s="5" t="s">
        <v>19</v>
      </c>
      <c r="E418646" s="11" t="s">
        <v>14</v>
      </c>
      <c r="F418646" s="9" t="s">
        <v>22</v>
      </c>
      <c r="G418646">
        <v>1</v>
      </c>
      <c r="J418646" s="7">
        <v>7.6139999999999999</v>
      </c>
      <c r="K418646" s="11">
        <f t="shared" si="55"/>
        <v>2026</v>
      </c>
      <c r="L418646" t="s">
        <v>25</v>
      </c>
      <c r="M418646" t="s">
        <v>17</v>
      </c>
    </row>
    <row r="418647" spans="1:13" x14ac:dyDescent="0.25">
      <c r="A418647" s="6">
        <v>46131</v>
      </c>
      <c r="B418647" s="11">
        <f t="shared" si="56"/>
        <v>4</v>
      </c>
      <c r="C418647" s="11">
        <f t="shared" si="57"/>
        <v>17</v>
      </c>
      <c r="D418647" s="5" t="s">
        <v>19</v>
      </c>
      <c r="E418647" s="11" t="s">
        <v>14</v>
      </c>
      <c r="F418647" s="9" t="s">
        <v>22</v>
      </c>
      <c r="G418647">
        <v>1</v>
      </c>
      <c r="J418647" s="7">
        <v>1.948</v>
      </c>
      <c r="K418647" s="11">
        <f t="shared" si="55"/>
        <v>2026</v>
      </c>
      <c r="L418647" t="s">
        <v>25</v>
      </c>
      <c r="M418647" t="s">
        <v>17</v>
      </c>
    </row>
    <row r="418648" spans="1:13" x14ac:dyDescent="0.25">
      <c r="A418648" s="6">
        <v>46133.083333333336</v>
      </c>
      <c r="B418648" s="11">
        <f t="shared" si="56"/>
        <v>4</v>
      </c>
      <c r="C418648" s="11">
        <f t="shared" si="57"/>
        <v>17</v>
      </c>
      <c r="D418648" s="5" t="s">
        <v>18</v>
      </c>
      <c r="E418648" s="11" t="s">
        <v>14</v>
      </c>
      <c r="F418648" s="9" t="s">
        <v>15</v>
      </c>
      <c r="G418648">
        <v>1</v>
      </c>
      <c r="J418648" s="7">
        <v>3.15</v>
      </c>
      <c r="K418648" s="11">
        <f t="shared" si="55"/>
        <v>2026</v>
      </c>
      <c r="L418648" t="s">
        <v>25</v>
      </c>
      <c r="M418648" t="s">
        <v>17</v>
      </c>
    </row>
    <row r="418649" spans="1:13" x14ac:dyDescent="0.25">
      <c r="A418649" s="6">
        <v>46131.757638888892</v>
      </c>
      <c r="B418649" s="11">
        <f t="shared" si="56"/>
        <v>4</v>
      </c>
      <c r="C418649" s="11">
        <f t="shared" si="57"/>
        <v>17</v>
      </c>
      <c r="D418649" s="5" t="s">
        <v>19</v>
      </c>
      <c r="E418649" s="11" t="s">
        <v>14</v>
      </c>
      <c r="F418649" s="9" t="s">
        <v>22</v>
      </c>
      <c r="G418649">
        <v>1</v>
      </c>
      <c r="J418649" s="7">
        <v>2.6280000000000001</v>
      </c>
      <c r="K418649" s="11">
        <f t="shared" si="55"/>
        <v>2026</v>
      </c>
      <c r="L418649" t="s">
        <v>25</v>
      </c>
      <c r="M418649" t="s">
        <v>17</v>
      </c>
    </row>
    <row r="418650" spans="1:13" x14ac:dyDescent="0.25">
      <c r="A418650" s="6">
        <v>46133.083333333336</v>
      </c>
      <c r="B418650" s="11">
        <f t="shared" si="56"/>
        <v>4</v>
      </c>
      <c r="C418650" s="11">
        <f t="shared" si="57"/>
        <v>17</v>
      </c>
      <c r="D418650" s="5" t="s">
        <v>13</v>
      </c>
      <c r="E418650" s="11" t="s">
        <v>14</v>
      </c>
      <c r="F418650" s="9" t="s">
        <v>15</v>
      </c>
      <c r="G418650">
        <v>1</v>
      </c>
      <c r="J418650" s="7">
        <v>7.89</v>
      </c>
      <c r="K418650" s="11">
        <f t="shared" si="55"/>
        <v>2026</v>
      </c>
      <c r="L418650" t="s">
        <v>25</v>
      </c>
      <c r="M418650" t="s">
        <v>17</v>
      </c>
    </row>
    <row r="418651" spans="1:13" x14ac:dyDescent="0.25">
      <c r="A418651" s="6">
        <v>46136.791666666664</v>
      </c>
      <c r="B418651" s="11">
        <f t="shared" si="56"/>
        <v>4</v>
      </c>
      <c r="C418651" s="11">
        <f t="shared" si="57"/>
        <v>17</v>
      </c>
      <c r="D418651" s="5" t="s">
        <v>18</v>
      </c>
      <c r="E418651" s="11" t="s">
        <v>14</v>
      </c>
      <c r="F418651" s="9" t="s">
        <v>22</v>
      </c>
      <c r="G418651">
        <v>1</v>
      </c>
      <c r="J418651" s="7">
        <v>2.1120000000000001</v>
      </c>
      <c r="K418651" s="11">
        <f t="shared" si="55"/>
        <v>2026</v>
      </c>
      <c r="L418651" t="s">
        <v>25</v>
      </c>
      <c r="M418651" t="s">
        <v>17</v>
      </c>
    </row>
    <row r="418652" spans="1:13" x14ac:dyDescent="0.25">
      <c r="A418652" s="6">
        <v>46133.541666666664</v>
      </c>
      <c r="B418652" s="11">
        <f t="shared" si="56"/>
        <v>4</v>
      </c>
      <c r="C418652" s="11">
        <f t="shared" si="57"/>
        <v>17</v>
      </c>
      <c r="D418652" s="5" t="s">
        <v>13</v>
      </c>
      <c r="E418652" s="11" t="s">
        <v>14</v>
      </c>
      <c r="F418652" s="9" t="s">
        <v>22</v>
      </c>
      <c r="G418652">
        <v>1</v>
      </c>
      <c r="J418652" s="7">
        <v>0.77100000000000002</v>
      </c>
      <c r="K418652" s="11">
        <f t="shared" si="55"/>
        <v>2026</v>
      </c>
      <c r="L418652" t="s">
        <v>25</v>
      </c>
      <c r="M418652" t="s">
        <v>17</v>
      </c>
    </row>
    <row r="418653" spans="1:13" x14ac:dyDescent="0.25">
      <c r="A418653" s="6">
        <v>46133.541666666664</v>
      </c>
      <c r="B418653" s="11">
        <f t="shared" si="56"/>
        <v>4</v>
      </c>
      <c r="C418653" s="11">
        <f t="shared" si="57"/>
        <v>17</v>
      </c>
      <c r="D418653" s="5" t="s">
        <v>13</v>
      </c>
      <c r="E418653" s="11" t="s">
        <v>14</v>
      </c>
      <c r="F418653" s="9" t="s">
        <v>22</v>
      </c>
      <c r="G418653">
        <v>1</v>
      </c>
      <c r="J418653" s="7">
        <v>0.44500000000000001</v>
      </c>
      <c r="K418653" s="11">
        <f t="shared" ref="K418653:K418658" si="58">YEAR(A418653)</f>
        <v>2026</v>
      </c>
      <c r="L418653" t="s">
        <v>25</v>
      </c>
      <c r="M418653" t="s">
        <v>17</v>
      </c>
    </row>
    <row r="418654" spans="1:13" x14ac:dyDescent="0.25">
      <c r="A418654" s="6">
        <v>46134.447916666664</v>
      </c>
      <c r="B418654" s="11">
        <f t="shared" si="56"/>
        <v>4</v>
      </c>
      <c r="C418654" s="11">
        <f t="shared" si="57"/>
        <v>17</v>
      </c>
      <c r="D418654" s="5" t="s">
        <v>13</v>
      </c>
      <c r="E418654" s="11" t="s">
        <v>14</v>
      </c>
      <c r="F418654" s="9" t="s">
        <v>15</v>
      </c>
      <c r="G418654">
        <v>1</v>
      </c>
      <c r="J418654" s="7">
        <v>4.3899999999999997</v>
      </c>
      <c r="K418654" s="11">
        <f t="shared" si="58"/>
        <v>2026</v>
      </c>
      <c r="L418654" t="s">
        <v>25</v>
      </c>
      <c r="M418654" t="s">
        <v>17</v>
      </c>
    </row>
    <row r="418655" spans="1:13" x14ac:dyDescent="0.25">
      <c r="A418655" s="6">
        <v>46134.447916666664</v>
      </c>
      <c r="B418655" s="11">
        <f t="shared" si="56"/>
        <v>4</v>
      </c>
      <c r="C418655" s="11">
        <f t="shared" si="57"/>
        <v>17</v>
      </c>
      <c r="D418655" s="5" t="s">
        <v>13</v>
      </c>
      <c r="E418655" s="11" t="s">
        <v>14</v>
      </c>
      <c r="F418655" s="9" t="s">
        <v>15</v>
      </c>
      <c r="G418655">
        <v>1</v>
      </c>
      <c r="J418655" s="7">
        <v>0.57599999999999996</v>
      </c>
      <c r="K418655" s="11">
        <f t="shared" si="58"/>
        <v>2026</v>
      </c>
      <c r="L418655" t="s">
        <v>25</v>
      </c>
      <c r="M418655" t="s">
        <v>17</v>
      </c>
    </row>
    <row r="418656" spans="1:13" x14ac:dyDescent="0.25">
      <c r="A418656" s="6">
        <v>46132</v>
      </c>
      <c r="B418656" s="11">
        <f t="shared" si="56"/>
        <v>4</v>
      </c>
      <c r="C418656" s="11">
        <f t="shared" si="57"/>
        <v>17</v>
      </c>
      <c r="D418656" s="5" t="s">
        <v>18</v>
      </c>
      <c r="E418656" s="11" t="s">
        <v>14</v>
      </c>
      <c r="F418656" s="9" t="s">
        <v>22</v>
      </c>
      <c r="G418656">
        <v>1</v>
      </c>
      <c r="J418656" s="7">
        <v>2.94</v>
      </c>
      <c r="K418656" s="11">
        <f t="shared" si="58"/>
        <v>2026</v>
      </c>
      <c r="L418656" t="s">
        <v>25</v>
      </c>
      <c r="M418656" t="s">
        <v>17</v>
      </c>
    </row>
    <row r="418657" spans="1:13" x14ac:dyDescent="0.25">
      <c r="A418657" s="6">
        <v>46132</v>
      </c>
      <c r="B418657" s="11">
        <f t="shared" si="56"/>
        <v>4</v>
      </c>
      <c r="C418657" s="11">
        <f t="shared" si="57"/>
        <v>17</v>
      </c>
      <c r="D418657" s="5" t="s">
        <v>18</v>
      </c>
      <c r="E418657" s="11" t="s">
        <v>14</v>
      </c>
      <c r="F418657" s="9" t="s">
        <v>22</v>
      </c>
      <c r="G418657">
        <v>1</v>
      </c>
      <c r="J418657" s="7">
        <v>6.11</v>
      </c>
      <c r="K418657" s="11">
        <f t="shared" si="58"/>
        <v>2026</v>
      </c>
      <c r="L418657" t="s">
        <v>25</v>
      </c>
      <c r="M418657" t="s">
        <v>17</v>
      </c>
    </row>
    <row r="418658" spans="1:13" x14ac:dyDescent="0.25">
      <c r="A418658" s="6">
        <v>46133</v>
      </c>
      <c r="B418658" s="11">
        <f t="shared" si="56"/>
        <v>4</v>
      </c>
      <c r="C418658" s="11">
        <f t="shared" si="57"/>
        <v>17</v>
      </c>
      <c r="D418658" s="5" t="s">
        <v>21</v>
      </c>
      <c r="E418658" s="11" t="s">
        <v>14</v>
      </c>
      <c r="F418658" s="9" t="s">
        <v>22</v>
      </c>
      <c r="G418658">
        <v>1</v>
      </c>
      <c r="J418658" s="7">
        <v>4.82</v>
      </c>
      <c r="K418658" s="11">
        <f t="shared" si="58"/>
        <v>2026</v>
      </c>
      <c r="L418658" t="s">
        <v>25</v>
      </c>
      <c r="M418658" t="s">
        <v>17</v>
      </c>
    </row>
    <row r="418659" spans="1:13" x14ac:dyDescent="0.25">
      <c r="A418659" s="6">
        <v>46131.416666666664</v>
      </c>
      <c r="B418659" s="11">
        <f t="shared" ref="B418659" si="59">MONTH(A418659)</f>
        <v>4</v>
      </c>
      <c r="C418659" s="11">
        <f t="shared" ref="C418659" si="60">WEEKNUM(A418659)</f>
        <v>17</v>
      </c>
      <c r="D418659" s="5" t="s">
        <v>18</v>
      </c>
      <c r="E418659" s="11" t="s">
        <v>14</v>
      </c>
      <c r="F418659" s="9" t="s">
        <v>15</v>
      </c>
      <c r="G418659">
        <v>1</v>
      </c>
      <c r="J418659" s="7">
        <v>0.58099999999999996</v>
      </c>
      <c r="K418659" s="11">
        <f t="shared" ref="K418659" si="61">YEAR(A418659)</f>
        <v>2026</v>
      </c>
      <c r="L418659" t="s">
        <v>16</v>
      </c>
      <c r="M418659" t="s">
        <v>17</v>
      </c>
    </row>
    <row r="418660" spans="1:13" x14ac:dyDescent="0.25">
      <c r="A418660" s="6">
        <v>46135.25</v>
      </c>
      <c r="B418660" s="11">
        <f t="shared" ref="B418660:B418723" si="62">MONTH(A418660)</f>
        <v>4</v>
      </c>
      <c r="C418660" s="11">
        <f t="shared" ref="C418660:C418723" si="63">WEEKNUM(A418660)</f>
        <v>17</v>
      </c>
      <c r="D418660" s="5" t="s">
        <v>18</v>
      </c>
      <c r="E418660" s="11" t="s">
        <v>14</v>
      </c>
      <c r="F418660" s="9" t="s">
        <v>15</v>
      </c>
      <c r="G418660">
        <v>1</v>
      </c>
      <c r="J418660" s="7">
        <v>5.16</v>
      </c>
      <c r="K418660" s="11">
        <f t="shared" ref="K418660:K418723" si="64">YEAR(A418660)</f>
        <v>2026</v>
      </c>
      <c r="L418660" t="s">
        <v>16</v>
      </c>
      <c r="M418660" t="s">
        <v>17</v>
      </c>
    </row>
    <row r="418661" spans="1:13" x14ac:dyDescent="0.25">
      <c r="A418661" s="6">
        <v>46131.416666666664</v>
      </c>
      <c r="B418661" s="11">
        <f t="shared" si="62"/>
        <v>4</v>
      </c>
      <c r="C418661" s="11">
        <f t="shared" si="63"/>
        <v>17</v>
      </c>
      <c r="D418661" s="5" t="s">
        <v>18</v>
      </c>
      <c r="E418661" s="11" t="s">
        <v>14</v>
      </c>
      <c r="F418661" s="9" t="s">
        <v>15</v>
      </c>
      <c r="G418661">
        <v>1</v>
      </c>
      <c r="J418661" s="7">
        <v>6.1719999999999997</v>
      </c>
      <c r="K418661" s="11">
        <f t="shared" si="64"/>
        <v>2026</v>
      </c>
      <c r="L418661" t="s">
        <v>16</v>
      </c>
      <c r="M418661" t="s">
        <v>17</v>
      </c>
    </row>
    <row r="418662" spans="1:13" x14ac:dyDescent="0.25">
      <c r="A418662" s="6">
        <v>46131.416666666664</v>
      </c>
      <c r="B418662" s="11">
        <f t="shared" si="62"/>
        <v>4</v>
      </c>
      <c r="C418662" s="11">
        <f t="shared" si="63"/>
        <v>17</v>
      </c>
      <c r="D418662" s="5" t="s">
        <v>18</v>
      </c>
      <c r="E418662" s="11" t="s">
        <v>14</v>
      </c>
      <c r="F418662" s="9" t="s">
        <v>15</v>
      </c>
      <c r="G418662">
        <v>1</v>
      </c>
      <c r="J418662" s="7">
        <v>1.028</v>
      </c>
      <c r="K418662" s="11">
        <f t="shared" si="64"/>
        <v>2026</v>
      </c>
      <c r="L418662" t="s">
        <v>16</v>
      </c>
      <c r="M418662" t="s">
        <v>17</v>
      </c>
    </row>
    <row r="418663" spans="1:13" x14ac:dyDescent="0.25">
      <c r="A418663" s="6">
        <v>46131.416666666664</v>
      </c>
      <c r="B418663" s="11">
        <f t="shared" si="62"/>
        <v>4</v>
      </c>
      <c r="C418663" s="11">
        <f t="shared" si="63"/>
        <v>17</v>
      </c>
      <c r="D418663" s="5" t="s">
        <v>18</v>
      </c>
      <c r="E418663" s="11" t="s">
        <v>14</v>
      </c>
      <c r="F418663" s="9" t="s">
        <v>15</v>
      </c>
      <c r="G418663">
        <v>1</v>
      </c>
      <c r="J418663" s="7">
        <v>2.653</v>
      </c>
      <c r="K418663" s="11">
        <f t="shared" si="64"/>
        <v>2026</v>
      </c>
      <c r="L418663" t="s">
        <v>16</v>
      </c>
      <c r="M418663" t="s">
        <v>17</v>
      </c>
    </row>
    <row r="418664" spans="1:13" x14ac:dyDescent="0.25">
      <c r="A418664" s="6">
        <v>46131.416666666664</v>
      </c>
      <c r="B418664" s="11">
        <f t="shared" si="62"/>
        <v>4</v>
      </c>
      <c r="C418664" s="11">
        <f t="shared" si="63"/>
        <v>17</v>
      </c>
      <c r="D418664" s="5" t="s">
        <v>18</v>
      </c>
      <c r="E418664" s="11" t="s">
        <v>14</v>
      </c>
      <c r="F418664" s="9" t="s">
        <v>15</v>
      </c>
      <c r="G418664">
        <v>1</v>
      </c>
      <c r="J418664" s="7">
        <v>0.88900000000000001</v>
      </c>
      <c r="K418664" s="11">
        <f t="shared" si="64"/>
        <v>2026</v>
      </c>
      <c r="L418664" t="s">
        <v>16</v>
      </c>
      <c r="M418664" t="s">
        <v>17</v>
      </c>
    </row>
    <row r="418665" spans="1:13" x14ac:dyDescent="0.25">
      <c r="A418665" s="6">
        <v>46131.416666666664</v>
      </c>
      <c r="B418665" s="11">
        <f t="shared" si="62"/>
        <v>4</v>
      </c>
      <c r="C418665" s="11">
        <f t="shared" si="63"/>
        <v>17</v>
      </c>
      <c r="D418665" s="5" t="s">
        <v>18</v>
      </c>
      <c r="E418665" s="11" t="s">
        <v>14</v>
      </c>
      <c r="F418665" s="9" t="s">
        <v>15</v>
      </c>
      <c r="G418665">
        <v>1</v>
      </c>
      <c r="J418665" s="7">
        <v>5.391</v>
      </c>
      <c r="K418665" s="11">
        <f t="shared" si="64"/>
        <v>2026</v>
      </c>
      <c r="L418665" t="s">
        <v>16</v>
      </c>
      <c r="M418665" t="s">
        <v>17</v>
      </c>
    </row>
    <row r="418666" spans="1:13" x14ac:dyDescent="0.25">
      <c r="A418666" s="6">
        <v>46131.416666666664</v>
      </c>
      <c r="B418666" s="11">
        <f t="shared" si="62"/>
        <v>4</v>
      </c>
      <c r="C418666" s="11">
        <f t="shared" si="63"/>
        <v>17</v>
      </c>
      <c r="D418666" s="5" t="s">
        <v>18</v>
      </c>
      <c r="E418666" s="11" t="s">
        <v>14</v>
      </c>
      <c r="F418666" s="9" t="s">
        <v>15</v>
      </c>
      <c r="G418666">
        <v>1</v>
      </c>
      <c r="J418666" s="7">
        <v>11.994999999999999</v>
      </c>
      <c r="K418666" s="11">
        <f t="shared" si="64"/>
        <v>2026</v>
      </c>
      <c r="L418666" t="s">
        <v>16</v>
      </c>
      <c r="M418666" t="s">
        <v>17</v>
      </c>
    </row>
    <row r="418667" spans="1:13" x14ac:dyDescent="0.25">
      <c r="A418667" s="6">
        <v>46131.416666666664</v>
      </c>
      <c r="B418667" s="11">
        <f t="shared" si="62"/>
        <v>4</v>
      </c>
      <c r="C418667" s="11">
        <f t="shared" si="63"/>
        <v>17</v>
      </c>
      <c r="D418667" s="5" t="s">
        <v>18</v>
      </c>
      <c r="E418667" s="11" t="s">
        <v>14</v>
      </c>
      <c r="F418667" s="9" t="s">
        <v>15</v>
      </c>
      <c r="G418667">
        <v>1</v>
      </c>
      <c r="J418667" s="7">
        <v>3.8660000000000001</v>
      </c>
      <c r="K418667" s="11">
        <f t="shared" si="64"/>
        <v>2026</v>
      </c>
      <c r="L418667" t="s">
        <v>16</v>
      </c>
      <c r="M418667" t="s">
        <v>17</v>
      </c>
    </row>
    <row r="418668" spans="1:13" x14ac:dyDescent="0.25">
      <c r="A418668" s="6">
        <v>46131.416666666664</v>
      </c>
      <c r="B418668" s="11">
        <f t="shared" si="62"/>
        <v>4</v>
      </c>
      <c r="C418668" s="11">
        <f t="shared" si="63"/>
        <v>17</v>
      </c>
      <c r="D418668" s="5" t="s">
        <v>18</v>
      </c>
      <c r="E418668" s="11" t="s">
        <v>14</v>
      </c>
      <c r="F418668" s="9" t="s">
        <v>15</v>
      </c>
      <c r="G418668">
        <v>1</v>
      </c>
      <c r="J418668" s="7">
        <v>11.361000000000001</v>
      </c>
      <c r="K418668" s="11">
        <f t="shared" si="64"/>
        <v>2026</v>
      </c>
      <c r="L418668" t="s">
        <v>16</v>
      </c>
      <c r="M418668" t="s">
        <v>17</v>
      </c>
    </row>
    <row r="418669" spans="1:13" x14ac:dyDescent="0.25">
      <c r="A418669" s="6">
        <v>46131.416666666664</v>
      </c>
      <c r="B418669" s="11">
        <f t="shared" si="62"/>
        <v>4</v>
      </c>
      <c r="C418669" s="11">
        <f t="shared" si="63"/>
        <v>17</v>
      </c>
      <c r="D418669" s="5" t="s">
        <v>18</v>
      </c>
      <c r="E418669" s="11" t="s">
        <v>14</v>
      </c>
      <c r="F418669" s="9" t="s">
        <v>15</v>
      </c>
      <c r="G418669">
        <v>1</v>
      </c>
      <c r="J418669" s="7">
        <v>7.7469999999999999</v>
      </c>
      <c r="K418669" s="11">
        <f t="shared" si="64"/>
        <v>2026</v>
      </c>
      <c r="L418669" t="s">
        <v>16</v>
      </c>
      <c r="M418669" t="s">
        <v>17</v>
      </c>
    </row>
    <row r="418670" spans="1:13" x14ac:dyDescent="0.25">
      <c r="A418670" s="6">
        <v>46131</v>
      </c>
      <c r="B418670" s="11">
        <f t="shared" si="62"/>
        <v>4</v>
      </c>
      <c r="C418670" s="11">
        <f t="shared" si="63"/>
        <v>17</v>
      </c>
      <c r="D418670" s="5" t="s">
        <v>18</v>
      </c>
      <c r="E418670" s="11" t="s">
        <v>14</v>
      </c>
      <c r="F418670" s="9" t="s">
        <v>22</v>
      </c>
      <c r="G418670">
        <v>1</v>
      </c>
      <c r="J418670" s="7">
        <v>0.57599999999999996</v>
      </c>
      <c r="K418670" s="11">
        <f t="shared" si="64"/>
        <v>2026</v>
      </c>
      <c r="L418670" t="s">
        <v>16</v>
      </c>
      <c r="M418670" t="s">
        <v>17</v>
      </c>
    </row>
    <row r="418671" spans="1:13" x14ac:dyDescent="0.25">
      <c r="A418671" s="6">
        <v>46132.583333333336</v>
      </c>
      <c r="B418671" s="11">
        <f t="shared" si="62"/>
        <v>4</v>
      </c>
      <c r="C418671" s="11">
        <f t="shared" si="63"/>
        <v>17</v>
      </c>
      <c r="D418671" s="5" t="s">
        <v>18</v>
      </c>
      <c r="E418671" s="11" t="s">
        <v>14</v>
      </c>
      <c r="F418671" s="9" t="s">
        <v>15</v>
      </c>
      <c r="G418671">
        <v>1</v>
      </c>
      <c r="J418671" s="7">
        <v>1.68</v>
      </c>
      <c r="K418671" s="11">
        <f t="shared" si="64"/>
        <v>2026</v>
      </c>
      <c r="L418671" t="s">
        <v>16</v>
      </c>
      <c r="M418671" t="s">
        <v>17</v>
      </c>
    </row>
    <row r="418672" spans="1:13" x14ac:dyDescent="0.25">
      <c r="A418672" s="6">
        <v>46131.416666666664</v>
      </c>
      <c r="B418672" s="11">
        <f t="shared" si="62"/>
        <v>4</v>
      </c>
      <c r="C418672" s="11">
        <f t="shared" si="63"/>
        <v>17</v>
      </c>
      <c r="D418672" s="5" t="s">
        <v>18</v>
      </c>
      <c r="E418672" s="11" t="s">
        <v>14</v>
      </c>
      <c r="F418672" s="9" t="s">
        <v>15</v>
      </c>
      <c r="G418672">
        <v>1</v>
      </c>
      <c r="J418672" s="7">
        <v>0.59199999999999997</v>
      </c>
      <c r="K418672" s="11">
        <f t="shared" si="64"/>
        <v>2026</v>
      </c>
      <c r="L418672" t="s">
        <v>16</v>
      </c>
      <c r="M418672" t="s">
        <v>17</v>
      </c>
    </row>
    <row r="418673" spans="1:13" x14ac:dyDescent="0.25">
      <c r="A418673" s="6">
        <v>46131.416666666664</v>
      </c>
      <c r="B418673" s="11">
        <f t="shared" si="62"/>
        <v>4</v>
      </c>
      <c r="C418673" s="11">
        <f t="shared" si="63"/>
        <v>17</v>
      </c>
      <c r="D418673" s="5" t="s">
        <v>18</v>
      </c>
      <c r="E418673" s="11" t="s">
        <v>14</v>
      </c>
      <c r="F418673" s="9" t="s">
        <v>15</v>
      </c>
      <c r="G418673">
        <v>1</v>
      </c>
      <c r="J418673" s="7">
        <v>0.85499999999999998</v>
      </c>
      <c r="K418673" s="11">
        <f t="shared" si="64"/>
        <v>2026</v>
      </c>
      <c r="L418673" t="s">
        <v>16</v>
      </c>
      <c r="M418673" t="s">
        <v>17</v>
      </c>
    </row>
    <row r="418674" spans="1:13" x14ac:dyDescent="0.25">
      <c r="A418674" s="6">
        <v>46131.416666666664</v>
      </c>
      <c r="B418674" s="11">
        <f t="shared" si="62"/>
        <v>4</v>
      </c>
      <c r="C418674" s="11">
        <f t="shared" si="63"/>
        <v>17</v>
      </c>
      <c r="D418674" s="5" t="s">
        <v>18</v>
      </c>
      <c r="E418674" s="11" t="s">
        <v>14</v>
      </c>
      <c r="F418674" s="9" t="s">
        <v>15</v>
      </c>
      <c r="G418674">
        <v>1</v>
      </c>
      <c r="J418674" s="7">
        <v>6.3609999999999998</v>
      </c>
      <c r="K418674" s="11">
        <f t="shared" si="64"/>
        <v>2026</v>
      </c>
      <c r="L418674" t="s">
        <v>16</v>
      </c>
      <c r="M418674" t="s">
        <v>17</v>
      </c>
    </row>
    <row r="418675" spans="1:13" x14ac:dyDescent="0.25">
      <c r="A418675" s="6">
        <v>46135.25</v>
      </c>
      <c r="B418675" s="11">
        <f t="shared" si="62"/>
        <v>4</v>
      </c>
      <c r="C418675" s="11">
        <f t="shared" si="63"/>
        <v>17</v>
      </c>
      <c r="D418675" s="5" t="s">
        <v>18</v>
      </c>
      <c r="E418675" s="11" t="s">
        <v>14</v>
      </c>
      <c r="F418675" s="9" t="s">
        <v>15</v>
      </c>
      <c r="G418675">
        <v>1</v>
      </c>
      <c r="J418675" s="7">
        <v>3.2850000000000001</v>
      </c>
      <c r="K418675" s="11">
        <f t="shared" si="64"/>
        <v>2026</v>
      </c>
      <c r="L418675" t="s">
        <v>16</v>
      </c>
      <c r="M418675" t="s">
        <v>17</v>
      </c>
    </row>
    <row r="418676" spans="1:13" x14ac:dyDescent="0.25">
      <c r="A418676" s="6">
        <v>46136</v>
      </c>
      <c r="B418676" s="11">
        <f t="shared" si="62"/>
        <v>4</v>
      </c>
      <c r="C418676" s="11">
        <f t="shared" si="63"/>
        <v>17</v>
      </c>
      <c r="D418676" s="5" t="s">
        <v>18</v>
      </c>
      <c r="E418676" s="11" t="s">
        <v>14</v>
      </c>
      <c r="F418676" s="9" t="s">
        <v>22</v>
      </c>
      <c r="G418676">
        <v>1</v>
      </c>
      <c r="J418676" s="7">
        <v>0.55000000000000004</v>
      </c>
      <c r="K418676" s="11">
        <f t="shared" si="64"/>
        <v>2026</v>
      </c>
      <c r="L418676" t="s">
        <v>16</v>
      </c>
      <c r="M418676" t="s">
        <v>17</v>
      </c>
    </row>
    <row r="418677" spans="1:13" x14ac:dyDescent="0.25">
      <c r="A418677" s="6">
        <v>46135.423611111109</v>
      </c>
      <c r="B418677" s="11">
        <f t="shared" si="62"/>
        <v>4</v>
      </c>
      <c r="C418677" s="11">
        <f t="shared" si="63"/>
        <v>17</v>
      </c>
      <c r="D418677" s="5" t="s">
        <v>18</v>
      </c>
      <c r="E418677" s="11" t="s">
        <v>14</v>
      </c>
      <c r="F418677" s="9" t="s">
        <v>22</v>
      </c>
      <c r="G418677">
        <v>1</v>
      </c>
      <c r="J418677" s="7">
        <v>1.68</v>
      </c>
      <c r="K418677" s="11">
        <f t="shared" si="64"/>
        <v>2026</v>
      </c>
      <c r="L418677" t="s">
        <v>16</v>
      </c>
      <c r="M418677" t="s">
        <v>17</v>
      </c>
    </row>
    <row r="418678" spans="1:13" x14ac:dyDescent="0.25">
      <c r="A418678" s="6">
        <v>46132.791666666664</v>
      </c>
      <c r="B418678" s="11">
        <f t="shared" si="62"/>
        <v>4</v>
      </c>
      <c r="C418678" s="11">
        <f t="shared" si="63"/>
        <v>17</v>
      </c>
      <c r="D418678" s="5" t="s">
        <v>18</v>
      </c>
      <c r="E418678" s="11" t="s">
        <v>14</v>
      </c>
      <c r="F418678" s="9" t="s">
        <v>22</v>
      </c>
      <c r="G418678">
        <v>1</v>
      </c>
      <c r="J418678" s="7">
        <v>2.2999999999999998</v>
      </c>
      <c r="K418678" s="11">
        <f t="shared" si="64"/>
        <v>2026</v>
      </c>
      <c r="L418678" t="s">
        <v>16</v>
      </c>
      <c r="M418678" t="s">
        <v>17</v>
      </c>
    </row>
    <row r="418679" spans="1:13" x14ac:dyDescent="0.25">
      <c r="A418679" s="6">
        <v>46135.423611111109</v>
      </c>
      <c r="B418679" s="11">
        <f t="shared" si="62"/>
        <v>4</v>
      </c>
      <c r="C418679" s="11">
        <f t="shared" si="63"/>
        <v>17</v>
      </c>
      <c r="D418679" s="5" t="s">
        <v>18</v>
      </c>
      <c r="E418679" s="11" t="s">
        <v>14</v>
      </c>
      <c r="F418679" s="9" t="s">
        <v>22</v>
      </c>
      <c r="G418679">
        <v>1</v>
      </c>
      <c r="J418679" s="7">
        <v>1.8</v>
      </c>
      <c r="K418679" s="11">
        <f t="shared" si="64"/>
        <v>2026</v>
      </c>
      <c r="L418679" t="s">
        <v>16</v>
      </c>
      <c r="M418679" t="s">
        <v>17</v>
      </c>
    </row>
    <row r="418680" spans="1:13" x14ac:dyDescent="0.25">
      <c r="A418680" s="6">
        <v>46134</v>
      </c>
      <c r="B418680" s="11">
        <f t="shared" si="62"/>
        <v>4</v>
      </c>
      <c r="C418680" s="11">
        <f t="shared" si="63"/>
        <v>17</v>
      </c>
      <c r="D418680" s="5" t="s">
        <v>18</v>
      </c>
      <c r="E418680" s="11" t="s">
        <v>14</v>
      </c>
      <c r="F418680" s="9" t="s">
        <v>15</v>
      </c>
      <c r="G418680">
        <v>1</v>
      </c>
      <c r="J418680" s="7">
        <v>5.5659999999999998</v>
      </c>
      <c r="K418680" s="11">
        <f t="shared" si="64"/>
        <v>2026</v>
      </c>
      <c r="L418680" t="s">
        <v>16</v>
      </c>
      <c r="M418680" t="s">
        <v>17</v>
      </c>
    </row>
    <row r="418681" spans="1:13" x14ac:dyDescent="0.25">
      <c r="A418681" s="6">
        <v>46135</v>
      </c>
      <c r="B418681" s="11">
        <f t="shared" si="62"/>
        <v>4</v>
      </c>
      <c r="C418681" s="11">
        <f t="shared" si="63"/>
        <v>17</v>
      </c>
      <c r="D418681" s="5" t="s">
        <v>18</v>
      </c>
      <c r="E418681" s="11" t="s">
        <v>14</v>
      </c>
      <c r="F418681" s="9" t="s">
        <v>22</v>
      </c>
      <c r="G418681">
        <v>1</v>
      </c>
      <c r="J418681" s="7">
        <v>2.7829999999999999</v>
      </c>
      <c r="K418681" s="11">
        <f t="shared" si="64"/>
        <v>2026</v>
      </c>
      <c r="L418681" t="s">
        <v>16</v>
      </c>
      <c r="M418681" t="s">
        <v>17</v>
      </c>
    </row>
    <row r="418682" spans="1:13" x14ac:dyDescent="0.25">
      <c r="A418682" s="6">
        <v>46131.416666666664</v>
      </c>
      <c r="B418682" s="11">
        <f t="shared" si="62"/>
        <v>4</v>
      </c>
      <c r="C418682" s="11">
        <f t="shared" si="63"/>
        <v>17</v>
      </c>
      <c r="D418682" s="5" t="s">
        <v>18</v>
      </c>
      <c r="E418682" s="11" t="s">
        <v>14</v>
      </c>
      <c r="F418682" s="9" t="s">
        <v>15</v>
      </c>
      <c r="G418682">
        <v>1</v>
      </c>
      <c r="J418682" s="7">
        <v>7.2999999999999995E-2</v>
      </c>
      <c r="K418682" s="11">
        <f t="shared" si="64"/>
        <v>2026</v>
      </c>
      <c r="L418682" t="s">
        <v>16</v>
      </c>
      <c r="M418682" t="s">
        <v>17</v>
      </c>
    </row>
    <row r="418683" spans="1:13" x14ac:dyDescent="0.25">
      <c r="A418683" s="6">
        <v>46131.416666666664</v>
      </c>
      <c r="B418683" s="11">
        <f t="shared" si="62"/>
        <v>4</v>
      </c>
      <c r="C418683" s="11">
        <f t="shared" si="63"/>
        <v>17</v>
      </c>
      <c r="D418683" s="5" t="s">
        <v>18</v>
      </c>
      <c r="E418683" s="11" t="s">
        <v>14</v>
      </c>
      <c r="F418683" s="9" t="s">
        <v>15</v>
      </c>
      <c r="G418683">
        <v>1</v>
      </c>
      <c r="J418683" s="7">
        <v>0.36</v>
      </c>
      <c r="K418683" s="11">
        <f t="shared" si="64"/>
        <v>2026</v>
      </c>
      <c r="L418683" t="s">
        <v>16</v>
      </c>
      <c r="M418683" t="s">
        <v>17</v>
      </c>
    </row>
    <row r="418684" spans="1:13" x14ac:dyDescent="0.25">
      <c r="A418684" s="6">
        <v>46131.416666666664</v>
      </c>
      <c r="B418684" s="11">
        <f t="shared" si="62"/>
        <v>4</v>
      </c>
      <c r="C418684" s="11">
        <f t="shared" si="63"/>
        <v>17</v>
      </c>
      <c r="D418684" s="5" t="s">
        <v>18</v>
      </c>
      <c r="E418684" s="11" t="s">
        <v>14</v>
      </c>
      <c r="F418684" s="9" t="s">
        <v>15</v>
      </c>
      <c r="G418684">
        <v>1</v>
      </c>
      <c r="J418684" s="7">
        <v>0.29399999999999998</v>
      </c>
      <c r="K418684" s="11">
        <f t="shared" si="64"/>
        <v>2026</v>
      </c>
      <c r="L418684" t="s">
        <v>16</v>
      </c>
      <c r="M418684" t="s">
        <v>17</v>
      </c>
    </row>
    <row r="418685" spans="1:13" x14ac:dyDescent="0.25">
      <c r="A418685" s="6">
        <v>46131.416666666664</v>
      </c>
      <c r="B418685" s="11">
        <f t="shared" si="62"/>
        <v>4</v>
      </c>
      <c r="C418685" s="11">
        <f t="shared" si="63"/>
        <v>17</v>
      </c>
      <c r="D418685" s="5" t="s">
        <v>18</v>
      </c>
      <c r="E418685" s="11" t="s">
        <v>14</v>
      </c>
      <c r="F418685" s="9" t="s">
        <v>15</v>
      </c>
      <c r="G418685">
        <v>1</v>
      </c>
      <c r="J418685" s="7">
        <v>3.2730000000000001</v>
      </c>
      <c r="K418685" s="11">
        <f t="shared" si="64"/>
        <v>2026</v>
      </c>
      <c r="L418685" t="s">
        <v>16</v>
      </c>
      <c r="M418685" t="s">
        <v>17</v>
      </c>
    </row>
    <row r="418686" spans="1:13" x14ac:dyDescent="0.25">
      <c r="A418686" s="6">
        <v>46133</v>
      </c>
      <c r="B418686" s="11">
        <f t="shared" si="62"/>
        <v>4</v>
      </c>
      <c r="C418686" s="11">
        <f t="shared" si="63"/>
        <v>17</v>
      </c>
      <c r="D418686" s="5" t="s">
        <v>18</v>
      </c>
      <c r="E418686" s="11" t="s">
        <v>14</v>
      </c>
      <c r="F418686" s="9" t="s">
        <v>22</v>
      </c>
      <c r="G418686">
        <v>1</v>
      </c>
      <c r="J418686" s="7">
        <v>0.315</v>
      </c>
      <c r="K418686" s="11">
        <f t="shared" si="64"/>
        <v>2026</v>
      </c>
      <c r="L418686" t="s">
        <v>16</v>
      </c>
      <c r="M418686" t="s">
        <v>17</v>
      </c>
    </row>
    <row r="418687" spans="1:13" x14ac:dyDescent="0.25">
      <c r="A418687" s="6">
        <v>46133.300694444442</v>
      </c>
      <c r="B418687" s="11">
        <f t="shared" si="62"/>
        <v>4</v>
      </c>
      <c r="C418687" s="11">
        <f t="shared" si="63"/>
        <v>17</v>
      </c>
      <c r="D418687" s="5" t="s">
        <v>18</v>
      </c>
      <c r="E418687" s="11" t="s">
        <v>14</v>
      </c>
      <c r="F418687" s="9" t="s">
        <v>15</v>
      </c>
      <c r="G418687">
        <v>1</v>
      </c>
      <c r="J418687" s="7">
        <v>1.89</v>
      </c>
      <c r="K418687" s="11">
        <f t="shared" si="64"/>
        <v>2026</v>
      </c>
      <c r="L418687" t="s">
        <v>16</v>
      </c>
      <c r="M418687" t="s">
        <v>17</v>
      </c>
    </row>
    <row r="418688" spans="1:13" x14ac:dyDescent="0.25">
      <c r="A418688" s="6">
        <v>46131.416666666664</v>
      </c>
      <c r="B418688" s="11">
        <f t="shared" si="62"/>
        <v>4</v>
      </c>
      <c r="C418688" s="11">
        <f t="shared" si="63"/>
        <v>17</v>
      </c>
      <c r="D418688" s="5" t="s">
        <v>18</v>
      </c>
      <c r="E418688" s="11" t="s">
        <v>14</v>
      </c>
      <c r="F418688" s="9" t="s">
        <v>15</v>
      </c>
      <c r="G418688">
        <v>1</v>
      </c>
      <c r="J418688" s="7">
        <v>4.74</v>
      </c>
      <c r="K418688" s="11">
        <f t="shared" si="64"/>
        <v>2026</v>
      </c>
      <c r="L418688" t="s">
        <v>16</v>
      </c>
      <c r="M418688" t="s">
        <v>17</v>
      </c>
    </row>
    <row r="418689" spans="1:13" x14ac:dyDescent="0.25">
      <c r="A418689" s="6">
        <v>46131.416666666664</v>
      </c>
      <c r="B418689" s="11">
        <f t="shared" si="62"/>
        <v>4</v>
      </c>
      <c r="C418689" s="11">
        <f t="shared" si="63"/>
        <v>17</v>
      </c>
      <c r="D418689" s="5" t="s">
        <v>18</v>
      </c>
      <c r="E418689" s="11" t="s">
        <v>14</v>
      </c>
      <c r="F418689" s="9" t="s">
        <v>15</v>
      </c>
      <c r="G418689">
        <v>1</v>
      </c>
      <c r="J418689" s="7">
        <v>1.8740000000000001</v>
      </c>
      <c r="K418689" s="11">
        <f t="shared" si="64"/>
        <v>2026</v>
      </c>
      <c r="L418689" t="s">
        <v>16</v>
      </c>
      <c r="M418689" t="s">
        <v>17</v>
      </c>
    </row>
    <row r="418690" spans="1:13" x14ac:dyDescent="0.25">
      <c r="A418690" s="6">
        <v>46132.583333333336</v>
      </c>
      <c r="B418690" s="11">
        <f t="shared" si="62"/>
        <v>4</v>
      </c>
      <c r="C418690" s="11">
        <f t="shared" si="63"/>
        <v>17</v>
      </c>
      <c r="D418690" s="5" t="s">
        <v>18</v>
      </c>
      <c r="E418690" s="11" t="s">
        <v>14</v>
      </c>
      <c r="F418690" s="9" t="s">
        <v>22</v>
      </c>
      <c r="G418690">
        <v>1</v>
      </c>
      <c r="J418690" s="7">
        <v>2.1120000000000001</v>
      </c>
      <c r="K418690" s="11">
        <f t="shared" si="64"/>
        <v>2026</v>
      </c>
      <c r="L418690" t="s">
        <v>16</v>
      </c>
      <c r="M418690" t="s">
        <v>17</v>
      </c>
    </row>
    <row r="418691" spans="1:13" x14ac:dyDescent="0.25">
      <c r="A418691" s="6">
        <v>46131.416666666664</v>
      </c>
      <c r="B418691" s="11">
        <f t="shared" si="62"/>
        <v>4</v>
      </c>
      <c r="C418691" s="11">
        <f t="shared" si="63"/>
        <v>17</v>
      </c>
      <c r="D418691" s="5" t="s">
        <v>18</v>
      </c>
      <c r="E418691" s="11" t="s">
        <v>14</v>
      </c>
      <c r="F418691" s="9" t="s">
        <v>15</v>
      </c>
      <c r="G418691">
        <v>1</v>
      </c>
      <c r="J418691" s="7">
        <v>2.02</v>
      </c>
      <c r="K418691" s="11">
        <f t="shared" si="64"/>
        <v>2026</v>
      </c>
      <c r="L418691" t="s">
        <v>16</v>
      </c>
      <c r="M418691" t="s">
        <v>17</v>
      </c>
    </row>
    <row r="418692" spans="1:13" x14ac:dyDescent="0.25">
      <c r="A418692" s="6">
        <v>46131.416666666664</v>
      </c>
      <c r="B418692" s="11">
        <f t="shared" si="62"/>
        <v>4</v>
      </c>
      <c r="C418692" s="11">
        <f t="shared" si="63"/>
        <v>17</v>
      </c>
      <c r="D418692" s="5" t="s">
        <v>18</v>
      </c>
      <c r="E418692" s="11" t="s">
        <v>14</v>
      </c>
      <c r="F418692" s="9" t="s">
        <v>15</v>
      </c>
      <c r="G418692">
        <v>1</v>
      </c>
      <c r="J418692" s="7">
        <v>4.25</v>
      </c>
      <c r="K418692" s="11">
        <f t="shared" si="64"/>
        <v>2026</v>
      </c>
      <c r="L418692" t="s">
        <v>16</v>
      </c>
      <c r="M418692" t="s">
        <v>17</v>
      </c>
    </row>
    <row r="418693" spans="1:13" x14ac:dyDescent="0.25">
      <c r="A418693" s="6">
        <v>46136.166666666664</v>
      </c>
      <c r="B418693" s="11">
        <f t="shared" si="62"/>
        <v>4</v>
      </c>
      <c r="C418693" s="11">
        <f t="shared" si="63"/>
        <v>17</v>
      </c>
      <c r="D418693" s="5" t="s">
        <v>18</v>
      </c>
      <c r="E418693" s="11" t="s">
        <v>14</v>
      </c>
      <c r="F418693" s="9" t="s">
        <v>22</v>
      </c>
      <c r="G418693">
        <v>1</v>
      </c>
      <c r="J418693" s="7">
        <v>1.276</v>
      </c>
      <c r="K418693" s="11">
        <f t="shared" si="64"/>
        <v>2026</v>
      </c>
      <c r="L418693" t="s">
        <v>16</v>
      </c>
      <c r="M418693" t="s">
        <v>17</v>
      </c>
    </row>
    <row r="418694" spans="1:13" x14ac:dyDescent="0.25">
      <c r="A418694" s="6">
        <v>46136.166666666664</v>
      </c>
      <c r="B418694" s="11">
        <f t="shared" si="62"/>
        <v>4</v>
      </c>
      <c r="C418694" s="11">
        <f t="shared" si="63"/>
        <v>17</v>
      </c>
      <c r="D418694" s="5" t="s">
        <v>18</v>
      </c>
      <c r="E418694" s="11" t="s">
        <v>14</v>
      </c>
      <c r="F418694" s="9" t="s">
        <v>22</v>
      </c>
      <c r="G418694">
        <v>1</v>
      </c>
      <c r="J418694" s="7">
        <v>0.63800000000000001</v>
      </c>
      <c r="K418694" s="11">
        <f t="shared" si="64"/>
        <v>2026</v>
      </c>
      <c r="L418694" t="s">
        <v>16</v>
      </c>
      <c r="M418694" t="s">
        <v>17</v>
      </c>
    </row>
    <row r="418695" spans="1:13" x14ac:dyDescent="0.25">
      <c r="A418695" s="6">
        <v>46136.166666666664</v>
      </c>
      <c r="B418695" s="11">
        <f t="shared" si="62"/>
        <v>4</v>
      </c>
      <c r="C418695" s="11">
        <f t="shared" si="63"/>
        <v>17</v>
      </c>
      <c r="D418695" s="5" t="s">
        <v>18</v>
      </c>
      <c r="E418695" s="11" t="s">
        <v>14</v>
      </c>
      <c r="F418695" s="9" t="s">
        <v>22</v>
      </c>
      <c r="G418695">
        <v>1</v>
      </c>
      <c r="J418695" s="7">
        <v>1.6559999999999999</v>
      </c>
      <c r="K418695" s="11">
        <f t="shared" si="64"/>
        <v>2026</v>
      </c>
      <c r="L418695" t="s">
        <v>16</v>
      </c>
      <c r="M418695" t="s">
        <v>17</v>
      </c>
    </row>
    <row r="418696" spans="1:13" x14ac:dyDescent="0.25">
      <c r="A418696" s="6">
        <v>46135.25</v>
      </c>
      <c r="B418696" s="11">
        <f t="shared" si="62"/>
        <v>4</v>
      </c>
      <c r="C418696" s="11">
        <f t="shared" si="63"/>
        <v>17</v>
      </c>
      <c r="D418696" s="5" t="s">
        <v>18</v>
      </c>
      <c r="E418696" s="11" t="s">
        <v>14</v>
      </c>
      <c r="F418696" s="9" t="s">
        <v>22</v>
      </c>
      <c r="G418696">
        <v>1</v>
      </c>
      <c r="J418696" s="7">
        <v>10.26</v>
      </c>
      <c r="K418696" s="11">
        <f t="shared" si="64"/>
        <v>2026</v>
      </c>
      <c r="L418696" t="s">
        <v>16</v>
      </c>
      <c r="M418696" t="s">
        <v>17</v>
      </c>
    </row>
    <row r="418697" spans="1:13" x14ac:dyDescent="0.25">
      <c r="A418697" s="6">
        <v>46135</v>
      </c>
      <c r="B418697" s="11">
        <f t="shared" si="62"/>
        <v>4</v>
      </c>
      <c r="C418697" s="11">
        <f t="shared" si="63"/>
        <v>17</v>
      </c>
      <c r="D418697" s="5" t="s">
        <v>18</v>
      </c>
      <c r="E418697" s="11" t="s">
        <v>14</v>
      </c>
      <c r="F418697" s="9" t="s">
        <v>22</v>
      </c>
      <c r="G418697">
        <v>1</v>
      </c>
      <c r="J418697" s="7">
        <v>6.72</v>
      </c>
      <c r="K418697" s="11">
        <f t="shared" si="64"/>
        <v>2026</v>
      </c>
      <c r="L418697" t="s">
        <v>16</v>
      </c>
      <c r="M418697" t="s">
        <v>17</v>
      </c>
    </row>
    <row r="418698" spans="1:13" x14ac:dyDescent="0.25">
      <c r="A418698" s="6">
        <v>46132</v>
      </c>
      <c r="B418698" s="11">
        <f t="shared" si="62"/>
        <v>4</v>
      </c>
      <c r="C418698" s="11">
        <f t="shared" si="63"/>
        <v>17</v>
      </c>
      <c r="D418698" s="5" t="s">
        <v>18</v>
      </c>
      <c r="E418698" s="11" t="s">
        <v>14</v>
      </c>
      <c r="F418698" s="9" t="s">
        <v>22</v>
      </c>
      <c r="G418698">
        <v>1</v>
      </c>
      <c r="J418698" s="7">
        <v>1.3149999999999999</v>
      </c>
      <c r="K418698" s="11">
        <f t="shared" si="64"/>
        <v>2026</v>
      </c>
      <c r="L418698" t="s">
        <v>16</v>
      </c>
      <c r="M418698" t="s">
        <v>17</v>
      </c>
    </row>
    <row r="418699" spans="1:13" x14ac:dyDescent="0.25">
      <c r="A418699" s="6">
        <v>46137</v>
      </c>
      <c r="B418699" s="11">
        <f t="shared" si="62"/>
        <v>4</v>
      </c>
      <c r="C418699" s="11">
        <f t="shared" si="63"/>
        <v>17</v>
      </c>
      <c r="D418699" s="5" t="s">
        <v>18</v>
      </c>
      <c r="E418699" s="11" t="s">
        <v>14</v>
      </c>
      <c r="F418699" s="9" t="s">
        <v>22</v>
      </c>
      <c r="G418699">
        <v>1</v>
      </c>
      <c r="J418699" s="7">
        <v>0.63800000000000001</v>
      </c>
      <c r="K418699" s="11">
        <f t="shared" si="64"/>
        <v>2026</v>
      </c>
      <c r="L418699" t="s">
        <v>16</v>
      </c>
      <c r="M418699" t="s">
        <v>17</v>
      </c>
    </row>
    <row r="418700" spans="1:13" x14ac:dyDescent="0.25">
      <c r="A418700" s="6">
        <v>46137</v>
      </c>
      <c r="B418700" s="11">
        <f t="shared" si="62"/>
        <v>4</v>
      </c>
      <c r="C418700" s="11">
        <f t="shared" si="63"/>
        <v>17</v>
      </c>
      <c r="D418700" s="5" t="s">
        <v>18</v>
      </c>
      <c r="E418700" s="11" t="s">
        <v>14</v>
      </c>
      <c r="F418700" s="9" t="s">
        <v>22</v>
      </c>
      <c r="G418700">
        <v>1</v>
      </c>
      <c r="J418700" s="7">
        <v>1.3680000000000001</v>
      </c>
      <c r="K418700" s="11">
        <f t="shared" si="64"/>
        <v>2026</v>
      </c>
      <c r="L418700" t="s">
        <v>16</v>
      </c>
      <c r="M418700" t="s">
        <v>17</v>
      </c>
    </row>
    <row r="418701" spans="1:13" x14ac:dyDescent="0.25">
      <c r="A418701" s="6">
        <v>46131</v>
      </c>
      <c r="B418701" s="11">
        <f t="shared" si="62"/>
        <v>4</v>
      </c>
      <c r="C418701" s="11">
        <f t="shared" si="63"/>
        <v>17</v>
      </c>
      <c r="D418701" s="5" t="s">
        <v>18</v>
      </c>
      <c r="E418701" s="11" t="s">
        <v>14</v>
      </c>
      <c r="F418701" s="9" t="s">
        <v>22</v>
      </c>
      <c r="G418701">
        <v>1</v>
      </c>
      <c r="J418701" s="7">
        <v>1.1459999999999999</v>
      </c>
      <c r="K418701" s="11">
        <f t="shared" si="64"/>
        <v>2026</v>
      </c>
      <c r="L418701" t="s">
        <v>16</v>
      </c>
      <c r="M418701" t="s">
        <v>17</v>
      </c>
    </row>
    <row r="418702" spans="1:13" x14ac:dyDescent="0.25">
      <c r="A418702" s="6">
        <v>46133.300694444442</v>
      </c>
      <c r="B418702" s="11">
        <f t="shared" si="62"/>
        <v>4</v>
      </c>
      <c r="C418702" s="11">
        <f t="shared" si="63"/>
        <v>17</v>
      </c>
      <c r="D418702" s="5" t="s">
        <v>18</v>
      </c>
      <c r="E418702" s="11" t="s">
        <v>14</v>
      </c>
      <c r="F418702" s="9" t="s">
        <v>15</v>
      </c>
      <c r="G418702">
        <v>1</v>
      </c>
      <c r="J418702" s="7">
        <v>1.26</v>
      </c>
      <c r="K418702" s="11">
        <f t="shared" si="64"/>
        <v>2026</v>
      </c>
      <c r="L418702" t="s">
        <v>16</v>
      </c>
      <c r="M418702" t="s">
        <v>17</v>
      </c>
    </row>
    <row r="418703" spans="1:13" x14ac:dyDescent="0.25">
      <c r="A418703" s="6">
        <v>46136</v>
      </c>
      <c r="B418703" s="11">
        <f t="shared" si="62"/>
        <v>4</v>
      </c>
      <c r="C418703" s="11">
        <f t="shared" si="63"/>
        <v>17</v>
      </c>
      <c r="D418703" s="5" t="s">
        <v>18</v>
      </c>
      <c r="E418703" s="11" t="s">
        <v>14</v>
      </c>
      <c r="F418703" s="9" t="s">
        <v>22</v>
      </c>
      <c r="G418703">
        <v>1</v>
      </c>
      <c r="J418703" s="7">
        <v>1.29</v>
      </c>
      <c r="K418703" s="11">
        <f t="shared" si="64"/>
        <v>2026</v>
      </c>
      <c r="L418703" t="s">
        <v>16</v>
      </c>
      <c r="M418703" t="s">
        <v>17</v>
      </c>
    </row>
    <row r="418704" spans="1:13" x14ac:dyDescent="0.25">
      <c r="A418704" s="6">
        <v>46131</v>
      </c>
      <c r="B418704" s="11">
        <f t="shared" si="62"/>
        <v>4</v>
      </c>
      <c r="C418704" s="11">
        <f t="shared" si="63"/>
        <v>17</v>
      </c>
      <c r="D418704" s="5" t="s">
        <v>18</v>
      </c>
      <c r="E418704" s="11" t="s">
        <v>14</v>
      </c>
      <c r="F418704" s="9" t="s">
        <v>22</v>
      </c>
      <c r="G418704">
        <v>1</v>
      </c>
      <c r="J418704" s="7">
        <v>1.375</v>
      </c>
      <c r="K418704" s="11">
        <f t="shared" si="64"/>
        <v>2026</v>
      </c>
      <c r="L418704" t="s">
        <v>16</v>
      </c>
      <c r="M418704" t="s">
        <v>17</v>
      </c>
    </row>
    <row r="418705" spans="1:13" x14ac:dyDescent="0.25">
      <c r="A418705" s="6">
        <v>46137</v>
      </c>
      <c r="B418705" s="11">
        <f t="shared" si="62"/>
        <v>4</v>
      </c>
      <c r="C418705" s="11">
        <f t="shared" si="63"/>
        <v>17</v>
      </c>
      <c r="D418705" s="5" t="s">
        <v>18</v>
      </c>
      <c r="E418705" s="11" t="s">
        <v>14</v>
      </c>
      <c r="F418705" s="9" t="s">
        <v>22</v>
      </c>
      <c r="G418705">
        <v>1</v>
      </c>
      <c r="J418705" s="7">
        <v>0.63800000000000001</v>
      </c>
      <c r="K418705" s="11">
        <f t="shared" si="64"/>
        <v>2026</v>
      </c>
      <c r="L418705" t="s">
        <v>16</v>
      </c>
      <c r="M418705" t="s">
        <v>17</v>
      </c>
    </row>
    <row r="418706" spans="1:13" x14ac:dyDescent="0.25">
      <c r="A418706" s="6">
        <v>46132.583333333336</v>
      </c>
      <c r="B418706" s="11">
        <f t="shared" si="62"/>
        <v>4</v>
      </c>
      <c r="C418706" s="11">
        <f t="shared" si="63"/>
        <v>17</v>
      </c>
      <c r="D418706" s="5" t="s">
        <v>18</v>
      </c>
      <c r="E418706" s="11" t="s">
        <v>14</v>
      </c>
      <c r="F418706" s="9" t="s">
        <v>22</v>
      </c>
      <c r="G418706">
        <v>1</v>
      </c>
      <c r="J418706" s="7">
        <v>0.76</v>
      </c>
      <c r="K418706" s="11">
        <f t="shared" si="64"/>
        <v>2026</v>
      </c>
      <c r="L418706" t="s">
        <v>16</v>
      </c>
      <c r="M418706" t="s">
        <v>17</v>
      </c>
    </row>
    <row r="418707" spans="1:13" x14ac:dyDescent="0.25">
      <c r="A418707" s="6">
        <v>46132.084027777775</v>
      </c>
      <c r="B418707" s="11">
        <f t="shared" si="62"/>
        <v>4</v>
      </c>
      <c r="C418707" s="11">
        <f t="shared" si="63"/>
        <v>17</v>
      </c>
      <c r="D418707" s="5" t="s">
        <v>18</v>
      </c>
      <c r="E418707" s="11" t="s">
        <v>14</v>
      </c>
      <c r="F418707" s="9" t="s">
        <v>22</v>
      </c>
      <c r="G418707">
        <v>1</v>
      </c>
      <c r="J418707" s="7">
        <v>4.1239999999999997</v>
      </c>
      <c r="K418707" s="11">
        <f t="shared" si="64"/>
        <v>2026</v>
      </c>
      <c r="L418707" t="s">
        <v>16</v>
      </c>
      <c r="M418707" t="s">
        <v>17</v>
      </c>
    </row>
    <row r="418708" spans="1:13" x14ac:dyDescent="0.25">
      <c r="A418708" s="6">
        <v>46133.300694444442</v>
      </c>
      <c r="B418708" s="11">
        <f t="shared" si="62"/>
        <v>4</v>
      </c>
      <c r="C418708" s="11">
        <f t="shared" si="63"/>
        <v>17</v>
      </c>
      <c r="D418708" s="5" t="s">
        <v>18</v>
      </c>
      <c r="E418708" s="11" t="s">
        <v>14</v>
      </c>
      <c r="F418708" s="9" t="s">
        <v>22</v>
      </c>
      <c r="G418708">
        <v>1</v>
      </c>
      <c r="J418708" s="7">
        <v>1.1160000000000001</v>
      </c>
      <c r="K418708" s="11">
        <f t="shared" si="64"/>
        <v>2026</v>
      </c>
      <c r="L418708" t="s">
        <v>16</v>
      </c>
      <c r="M418708" t="s">
        <v>17</v>
      </c>
    </row>
    <row r="418709" spans="1:13" x14ac:dyDescent="0.25">
      <c r="A418709" s="6">
        <v>46137</v>
      </c>
      <c r="B418709" s="11">
        <f t="shared" si="62"/>
        <v>4</v>
      </c>
      <c r="C418709" s="11">
        <f t="shared" si="63"/>
        <v>17</v>
      </c>
      <c r="D418709" s="5" t="s">
        <v>18</v>
      </c>
      <c r="E418709" s="11" t="s">
        <v>14</v>
      </c>
      <c r="F418709" s="9" t="s">
        <v>22</v>
      </c>
      <c r="G418709">
        <v>1</v>
      </c>
      <c r="J418709" s="7">
        <v>1.3440000000000001</v>
      </c>
      <c r="K418709" s="11">
        <f t="shared" si="64"/>
        <v>2026</v>
      </c>
      <c r="L418709" t="s">
        <v>16</v>
      </c>
      <c r="M418709" t="s">
        <v>17</v>
      </c>
    </row>
    <row r="418710" spans="1:13" x14ac:dyDescent="0.25">
      <c r="A418710" s="6">
        <v>46137</v>
      </c>
      <c r="B418710" s="11">
        <f t="shared" si="62"/>
        <v>4</v>
      </c>
      <c r="C418710" s="11">
        <f t="shared" si="63"/>
        <v>17</v>
      </c>
      <c r="D418710" s="5" t="s">
        <v>18</v>
      </c>
      <c r="E418710" s="11" t="s">
        <v>14</v>
      </c>
      <c r="F418710" s="9" t="s">
        <v>22</v>
      </c>
      <c r="G418710">
        <v>1</v>
      </c>
      <c r="J418710" s="7">
        <v>0.70599999999999996</v>
      </c>
      <c r="K418710" s="11">
        <f t="shared" si="64"/>
        <v>2026</v>
      </c>
      <c r="L418710" t="s">
        <v>16</v>
      </c>
      <c r="M418710" t="s">
        <v>17</v>
      </c>
    </row>
    <row r="418711" spans="1:13" x14ac:dyDescent="0.25">
      <c r="A418711" s="6">
        <v>46136</v>
      </c>
      <c r="B418711" s="11">
        <f t="shared" si="62"/>
        <v>4</v>
      </c>
      <c r="C418711" s="11">
        <f t="shared" si="63"/>
        <v>17</v>
      </c>
      <c r="D418711" s="5" t="s">
        <v>18</v>
      </c>
      <c r="E418711" s="11" t="s">
        <v>14</v>
      </c>
      <c r="F418711" s="9" t="s">
        <v>22</v>
      </c>
      <c r="G418711">
        <v>1</v>
      </c>
      <c r="J418711" s="7">
        <v>0.45900000000000002</v>
      </c>
      <c r="K418711" s="11">
        <f t="shared" si="64"/>
        <v>2026</v>
      </c>
      <c r="L418711" t="s">
        <v>16</v>
      </c>
      <c r="M418711" t="s">
        <v>17</v>
      </c>
    </row>
    <row r="418712" spans="1:13" x14ac:dyDescent="0.25">
      <c r="A418712" s="6">
        <v>46136</v>
      </c>
      <c r="B418712" s="11">
        <f t="shared" si="62"/>
        <v>4</v>
      </c>
      <c r="C418712" s="11">
        <f t="shared" si="63"/>
        <v>17</v>
      </c>
      <c r="D418712" s="5" t="s">
        <v>18</v>
      </c>
      <c r="E418712" s="11" t="s">
        <v>14</v>
      </c>
      <c r="F418712" s="9" t="s">
        <v>22</v>
      </c>
      <c r="G418712">
        <v>1</v>
      </c>
      <c r="J418712" s="7">
        <v>0.44400000000000001</v>
      </c>
      <c r="K418712" s="11">
        <f t="shared" si="64"/>
        <v>2026</v>
      </c>
      <c r="L418712" t="s">
        <v>16</v>
      </c>
      <c r="M418712" t="s">
        <v>17</v>
      </c>
    </row>
    <row r="418713" spans="1:13" x14ac:dyDescent="0.25">
      <c r="A418713" s="6">
        <v>46136</v>
      </c>
      <c r="B418713" s="11">
        <f t="shared" si="62"/>
        <v>4</v>
      </c>
      <c r="C418713" s="11">
        <f t="shared" si="63"/>
        <v>17</v>
      </c>
      <c r="D418713" s="5" t="s">
        <v>18</v>
      </c>
      <c r="E418713" s="11" t="s">
        <v>14</v>
      </c>
      <c r="F418713" s="9" t="s">
        <v>22</v>
      </c>
      <c r="G418713">
        <v>1</v>
      </c>
      <c r="J418713" s="7">
        <v>1.64</v>
      </c>
      <c r="K418713" s="11">
        <f t="shared" si="64"/>
        <v>2026</v>
      </c>
      <c r="L418713" t="s">
        <v>16</v>
      </c>
      <c r="M418713" t="s">
        <v>17</v>
      </c>
    </row>
    <row r="418714" spans="1:13" x14ac:dyDescent="0.25">
      <c r="A418714" s="6">
        <v>46136.625</v>
      </c>
      <c r="B418714" s="11">
        <f t="shared" si="62"/>
        <v>4</v>
      </c>
      <c r="C418714" s="11">
        <f t="shared" si="63"/>
        <v>17</v>
      </c>
      <c r="D418714" s="5" t="s">
        <v>18</v>
      </c>
      <c r="E418714" s="11" t="s">
        <v>14</v>
      </c>
      <c r="F418714" s="9" t="s">
        <v>22</v>
      </c>
      <c r="G418714">
        <v>1</v>
      </c>
      <c r="J418714" s="7">
        <v>2.016</v>
      </c>
      <c r="K418714" s="11">
        <f t="shared" si="64"/>
        <v>2026</v>
      </c>
      <c r="L418714" t="s">
        <v>16</v>
      </c>
      <c r="M418714" t="s">
        <v>17</v>
      </c>
    </row>
    <row r="418715" spans="1:13" x14ac:dyDescent="0.25">
      <c r="A418715" s="6">
        <v>46136.625</v>
      </c>
      <c r="B418715" s="11">
        <f t="shared" si="62"/>
        <v>4</v>
      </c>
      <c r="C418715" s="11">
        <f t="shared" si="63"/>
        <v>17</v>
      </c>
      <c r="D418715" s="5" t="s">
        <v>18</v>
      </c>
      <c r="E418715" s="11" t="s">
        <v>14</v>
      </c>
      <c r="F418715" s="9" t="s">
        <v>22</v>
      </c>
      <c r="G418715">
        <v>1</v>
      </c>
      <c r="J418715" s="7">
        <v>0.63800000000000001</v>
      </c>
      <c r="K418715" s="11">
        <f t="shared" si="64"/>
        <v>2026</v>
      </c>
      <c r="L418715" t="s">
        <v>16</v>
      </c>
      <c r="M418715" t="s">
        <v>17</v>
      </c>
    </row>
    <row r="418716" spans="1:13" x14ac:dyDescent="0.25">
      <c r="A418716" s="6">
        <v>46132.583333333336</v>
      </c>
      <c r="B418716" s="11">
        <f t="shared" si="62"/>
        <v>4</v>
      </c>
      <c r="C418716" s="11">
        <f t="shared" si="63"/>
        <v>17</v>
      </c>
      <c r="D418716" s="5" t="s">
        <v>19</v>
      </c>
      <c r="E418716" s="11" t="s">
        <v>14</v>
      </c>
      <c r="F418716" s="9" t="s">
        <v>15</v>
      </c>
      <c r="G418716">
        <v>1</v>
      </c>
      <c r="J418716" s="7">
        <v>4.032</v>
      </c>
      <c r="K418716" s="11">
        <f t="shared" si="64"/>
        <v>2026</v>
      </c>
      <c r="L418716" t="s">
        <v>16</v>
      </c>
      <c r="M418716" t="s">
        <v>17</v>
      </c>
    </row>
    <row r="418717" spans="1:13" x14ac:dyDescent="0.25">
      <c r="A418717" s="6">
        <v>46132.583333333336</v>
      </c>
      <c r="B418717" s="11">
        <f t="shared" si="62"/>
        <v>4</v>
      </c>
      <c r="C418717" s="11">
        <f t="shared" si="63"/>
        <v>17</v>
      </c>
      <c r="D418717" s="5" t="s">
        <v>19</v>
      </c>
      <c r="E418717" s="11" t="s">
        <v>14</v>
      </c>
      <c r="F418717" s="9" t="s">
        <v>15</v>
      </c>
      <c r="G418717">
        <v>1</v>
      </c>
      <c r="J418717" s="7">
        <v>3.2280000000000002</v>
      </c>
      <c r="K418717" s="11">
        <f t="shared" si="64"/>
        <v>2026</v>
      </c>
      <c r="L418717" t="s">
        <v>16</v>
      </c>
      <c r="M418717" t="s">
        <v>17</v>
      </c>
    </row>
    <row r="418718" spans="1:13" x14ac:dyDescent="0.25">
      <c r="A418718" s="6">
        <v>46135.25</v>
      </c>
      <c r="B418718" s="11">
        <f t="shared" si="62"/>
        <v>4</v>
      </c>
      <c r="C418718" s="11">
        <f t="shared" si="63"/>
        <v>17</v>
      </c>
      <c r="D418718" s="5" t="s">
        <v>19</v>
      </c>
      <c r="E418718" s="11" t="s">
        <v>14</v>
      </c>
      <c r="F418718" s="9" t="s">
        <v>15</v>
      </c>
      <c r="G418718">
        <v>1</v>
      </c>
      <c r="J418718" s="7">
        <v>3.96</v>
      </c>
      <c r="K418718" s="11">
        <f t="shared" si="64"/>
        <v>2026</v>
      </c>
      <c r="L418718" t="s">
        <v>16</v>
      </c>
      <c r="M418718" t="s">
        <v>17</v>
      </c>
    </row>
    <row r="418719" spans="1:13" x14ac:dyDescent="0.25">
      <c r="A418719" s="6">
        <v>46135.25</v>
      </c>
      <c r="B418719" s="11">
        <f t="shared" si="62"/>
        <v>4</v>
      </c>
      <c r="C418719" s="11">
        <f t="shared" si="63"/>
        <v>17</v>
      </c>
      <c r="D418719" s="5" t="s">
        <v>19</v>
      </c>
      <c r="E418719" s="11" t="s">
        <v>14</v>
      </c>
      <c r="F418719" s="9" t="s">
        <v>15</v>
      </c>
      <c r="G418719">
        <v>1</v>
      </c>
      <c r="J418719" s="7">
        <v>3.96</v>
      </c>
      <c r="K418719" s="11">
        <f t="shared" si="64"/>
        <v>2026</v>
      </c>
      <c r="L418719" t="s">
        <v>16</v>
      </c>
      <c r="M418719" t="s">
        <v>17</v>
      </c>
    </row>
    <row r="418720" spans="1:13" x14ac:dyDescent="0.25">
      <c r="A418720" s="6">
        <v>46131.416666666664</v>
      </c>
      <c r="B418720" s="11">
        <f t="shared" si="62"/>
        <v>4</v>
      </c>
      <c r="C418720" s="11">
        <f t="shared" si="63"/>
        <v>17</v>
      </c>
      <c r="D418720" s="5" t="s">
        <v>18</v>
      </c>
      <c r="E418720" s="11" t="s">
        <v>14</v>
      </c>
      <c r="F418720" s="9" t="s">
        <v>15</v>
      </c>
      <c r="G418720">
        <v>1</v>
      </c>
      <c r="J418720" s="7">
        <v>3.476</v>
      </c>
      <c r="K418720" s="11">
        <f t="shared" si="64"/>
        <v>2026</v>
      </c>
      <c r="L418720" t="s">
        <v>16</v>
      </c>
      <c r="M418720" t="s">
        <v>17</v>
      </c>
    </row>
    <row r="418721" spans="1:13" x14ac:dyDescent="0.25">
      <c r="A418721" s="6">
        <v>46131.416666666664</v>
      </c>
      <c r="B418721" s="11">
        <f t="shared" si="62"/>
        <v>4</v>
      </c>
      <c r="C418721" s="11">
        <f t="shared" si="63"/>
        <v>17</v>
      </c>
      <c r="D418721" s="5" t="s">
        <v>18</v>
      </c>
      <c r="E418721" s="11" t="s">
        <v>14</v>
      </c>
      <c r="F418721" s="9" t="s">
        <v>15</v>
      </c>
      <c r="G418721">
        <v>1</v>
      </c>
      <c r="J418721" s="7">
        <v>0.04</v>
      </c>
      <c r="K418721" s="11">
        <f t="shared" si="64"/>
        <v>2026</v>
      </c>
      <c r="L418721" t="s">
        <v>16</v>
      </c>
      <c r="M418721" t="s">
        <v>17</v>
      </c>
    </row>
    <row r="418722" spans="1:13" x14ac:dyDescent="0.25">
      <c r="A418722" s="6">
        <v>46131.416666666664</v>
      </c>
      <c r="B418722" s="11">
        <f t="shared" si="62"/>
        <v>4</v>
      </c>
      <c r="C418722" s="11">
        <f t="shared" si="63"/>
        <v>17</v>
      </c>
      <c r="D418722" s="5" t="s">
        <v>18</v>
      </c>
      <c r="E418722" s="11" t="s">
        <v>14</v>
      </c>
      <c r="F418722" s="9" t="s">
        <v>15</v>
      </c>
      <c r="G418722">
        <v>1</v>
      </c>
      <c r="J418722" s="7">
        <v>1.63</v>
      </c>
      <c r="K418722" s="11">
        <f t="shared" si="64"/>
        <v>2026</v>
      </c>
      <c r="L418722" t="s">
        <v>16</v>
      </c>
      <c r="M418722" t="s">
        <v>17</v>
      </c>
    </row>
    <row r="418723" spans="1:13" x14ac:dyDescent="0.25">
      <c r="A418723" s="6">
        <v>46131.416666666664</v>
      </c>
      <c r="B418723" s="11">
        <f t="shared" si="62"/>
        <v>4</v>
      </c>
      <c r="C418723" s="11">
        <f t="shared" si="63"/>
        <v>17</v>
      </c>
      <c r="D418723" s="5" t="s">
        <v>18</v>
      </c>
      <c r="E418723" s="11" t="s">
        <v>14</v>
      </c>
      <c r="F418723" s="9" t="s">
        <v>15</v>
      </c>
      <c r="G418723">
        <v>1</v>
      </c>
      <c r="J418723" s="7">
        <v>1.98</v>
      </c>
      <c r="K418723" s="11">
        <f t="shared" si="64"/>
        <v>2026</v>
      </c>
      <c r="L418723" t="s">
        <v>16</v>
      </c>
      <c r="M418723" t="s">
        <v>17</v>
      </c>
    </row>
    <row r="418724" spans="1:13" x14ac:dyDescent="0.25">
      <c r="A418724" s="6">
        <v>46131.416666666664</v>
      </c>
      <c r="B418724" s="11">
        <f t="shared" ref="B418724:B418766" si="65">MONTH(A418724)</f>
        <v>4</v>
      </c>
      <c r="C418724" s="11">
        <f t="shared" ref="C418724:C418766" si="66">WEEKNUM(A418724)</f>
        <v>17</v>
      </c>
      <c r="D418724" s="5" t="s">
        <v>18</v>
      </c>
      <c r="E418724" s="11" t="s">
        <v>14</v>
      </c>
      <c r="F418724" s="9" t="s">
        <v>15</v>
      </c>
      <c r="G418724">
        <v>1</v>
      </c>
      <c r="J418724" s="7">
        <v>2.34</v>
      </c>
      <c r="K418724" s="11">
        <f t="shared" ref="K418724:K418766" si="67">YEAR(A418724)</f>
        <v>2026</v>
      </c>
      <c r="L418724" t="s">
        <v>16</v>
      </c>
      <c r="M418724" t="s">
        <v>17</v>
      </c>
    </row>
    <row r="418725" spans="1:13" x14ac:dyDescent="0.25">
      <c r="A418725" s="6">
        <v>46131.416666666664</v>
      </c>
      <c r="B418725" s="11">
        <f t="shared" si="65"/>
        <v>4</v>
      </c>
      <c r="C418725" s="11">
        <f t="shared" si="66"/>
        <v>17</v>
      </c>
      <c r="D418725" s="5" t="s">
        <v>18</v>
      </c>
      <c r="E418725" s="11" t="s">
        <v>14</v>
      </c>
      <c r="F418725" s="9" t="s">
        <v>15</v>
      </c>
      <c r="G418725">
        <v>1</v>
      </c>
      <c r="J418725" s="7">
        <v>9.4030000000000005</v>
      </c>
      <c r="K418725" s="11">
        <f t="shared" si="67"/>
        <v>2026</v>
      </c>
      <c r="L418725" t="s">
        <v>16</v>
      </c>
      <c r="M418725" t="s">
        <v>17</v>
      </c>
    </row>
    <row r="418726" spans="1:13" x14ac:dyDescent="0.25">
      <c r="A418726" s="6">
        <v>46131.416666666664</v>
      </c>
      <c r="B418726" s="11">
        <f t="shared" si="65"/>
        <v>4</v>
      </c>
      <c r="C418726" s="11">
        <f t="shared" si="66"/>
        <v>17</v>
      </c>
      <c r="D418726" s="5" t="s">
        <v>18</v>
      </c>
      <c r="E418726" s="11" t="s">
        <v>14</v>
      </c>
      <c r="F418726" s="9" t="s">
        <v>15</v>
      </c>
      <c r="G418726">
        <v>1</v>
      </c>
      <c r="J418726" s="7">
        <v>3.4609999999999999</v>
      </c>
      <c r="K418726" s="11">
        <f t="shared" si="67"/>
        <v>2026</v>
      </c>
      <c r="L418726" t="s">
        <v>16</v>
      </c>
      <c r="M418726" t="s">
        <v>17</v>
      </c>
    </row>
    <row r="418727" spans="1:13" x14ac:dyDescent="0.25">
      <c r="A418727" s="6">
        <v>46131.416666666664</v>
      </c>
      <c r="B418727" s="11">
        <f t="shared" si="65"/>
        <v>4</v>
      </c>
      <c r="C418727" s="11">
        <f t="shared" si="66"/>
        <v>17</v>
      </c>
      <c r="D418727" s="5" t="s">
        <v>18</v>
      </c>
      <c r="E418727" s="11" t="s">
        <v>14</v>
      </c>
      <c r="F418727" s="9" t="s">
        <v>15</v>
      </c>
      <c r="G418727">
        <v>1</v>
      </c>
      <c r="J418727" s="7">
        <v>2.08</v>
      </c>
      <c r="K418727" s="11">
        <f t="shared" si="67"/>
        <v>2026</v>
      </c>
      <c r="L418727" t="s">
        <v>16</v>
      </c>
      <c r="M418727" t="s">
        <v>17</v>
      </c>
    </row>
    <row r="418728" spans="1:13" x14ac:dyDescent="0.25">
      <c r="A418728" s="6">
        <v>46131.416666666664</v>
      </c>
      <c r="B418728" s="11">
        <f t="shared" si="65"/>
        <v>4</v>
      </c>
      <c r="C418728" s="11">
        <f t="shared" si="66"/>
        <v>17</v>
      </c>
      <c r="D418728" s="5" t="s">
        <v>18</v>
      </c>
      <c r="E418728" s="11" t="s">
        <v>14</v>
      </c>
      <c r="F418728" s="9" t="s">
        <v>15</v>
      </c>
      <c r="G418728">
        <v>1</v>
      </c>
      <c r="J418728" s="7">
        <v>2.4700000000000002</v>
      </c>
      <c r="K418728" s="11">
        <f t="shared" si="67"/>
        <v>2026</v>
      </c>
      <c r="L418728" t="s">
        <v>16</v>
      </c>
      <c r="M418728" t="s">
        <v>17</v>
      </c>
    </row>
    <row r="418729" spans="1:13" x14ac:dyDescent="0.25">
      <c r="A418729" s="6">
        <v>46131.416666666664</v>
      </c>
      <c r="B418729" s="11">
        <f t="shared" si="65"/>
        <v>4</v>
      </c>
      <c r="C418729" s="11">
        <f t="shared" si="66"/>
        <v>17</v>
      </c>
      <c r="D418729" s="5" t="s">
        <v>18</v>
      </c>
      <c r="E418729" s="11" t="s">
        <v>14</v>
      </c>
      <c r="F418729" s="9" t="s">
        <v>15</v>
      </c>
      <c r="G418729">
        <v>1</v>
      </c>
      <c r="J418729" s="7">
        <v>0.28999999999999998</v>
      </c>
      <c r="K418729" s="11">
        <f t="shared" si="67"/>
        <v>2026</v>
      </c>
      <c r="L418729" t="s">
        <v>16</v>
      </c>
      <c r="M418729" t="s">
        <v>17</v>
      </c>
    </row>
    <row r="418730" spans="1:13" x14ac:dyDescent="0.25">
      <c r="A418730" s="6">
        <v>46131.416666666664</v>
      </c>
      <c r="B418730" s="11">
        <f t="shared" si="65"/>
        <v>4</v>
      </c>
      <c r="C418730" s="11">
        <f t="shared" si="66"/>
        <v>17</v>
      </c>
      <c r="D418730" s="5" t="s">
        <v>18</v>
      </c>
      <c r="E418730" s="11" t="s">
        <v>14</v>
      </c>
      <c r="F418730" s="9" t="s">
        <v>15</v>
      </c>
      <c r="G418730">
        <v>1</v>
      </c>
      <c r="J418730" s="7">
        <v>4.3339999999999996</v>
      </c>
      <c r="K418730" s="11">
        <f t="shared" si="67"/>
        <v>2026</v>
      </c>
      <c r="L418730" t="s">
        <v>16</v>
      </c>
      <c r="M418730" t="s">
        <v>17</v>
      </c>
    </row>
    <row r="418731" spans="1:13" x14ac:dyDescent="0.25">
      <c r="A418731" s="6">
        <v>46131.416666666664</v>
      </c>
      <c r="B418731" s="11">
        <f t="shared" si="65"/>
        <v>4</v>
      </c>
      <c r="C418731" s="11">
        <f t="shared" si="66"/>
        <v>17</v>
      </c>
      <c r="D418731" s="5" t="s">
        <v>18</v>
      </c>
      <c r="E418731" s="11" t="s">
        <v>14</v>
      </c>
      <c r="F418731" s="9" t="s">
        <v>15</v>
      </c>
      <c r="G418731">
        <v>1</v>
      </c>
      <c r="J418731" s="7">
        <v>10.105</v>
      </c>
      <c r="K418731" s="11">
        <f t="shared" si="67"/>
        <v>2026</v>
      </c>
      <c r="L418731" t="s">
        <v>16</v>
      </c>
      <c r="M418731" t="s">
        <v>17</v>
      </c>
    </row>
    <row r="418732" spans="1:13" x14ac:dyDescent="0.25">
      <c r="A418732" s="6">
        <v>46135.25</v>
      </c>
      <c r="B418732" s="11">
        <f t="shared" si="65"/>
        <v>4</v>
      </c>
      <c r="C418732" s="11">
        <f t="shared" si="66"/>
        <v>17</v>
      </c>
      <c r="D418732" s="5" t="s">
        <v>13</v>
      </c>
      <c r="E418732" s="11" t="s">
        <v>14</v>
      </c>
      <c r="F418732" s="9" t="s">
        <v>22</v>
      </c>
      <c r="G418732">
        <v>1</v>
      </c>
      <c r="J418732" s="7">
        <v>5.4539999999999997</v>
      </c>
      <c r="K418732" s="11">
        <f t="shared" si="67"/>
        <v>2026</v>
      </c>
      <c r="L418732" t="s">
        <v>16</v>
      </c>
      <c r="M418732" t="s">
        <v>17</v>
      </c>
    </row>
    <row r="418733" spans="1:13" x14ac:dyDescent="0.25">
      <c r="A418733" s="6">
        <v>46135.25</v>
      </c>
      <c r="B418733" s="11">
        <f t="shared" si="65"/>
        <v>4</v>
      </c>
      <c r="C418733" s="11">
        <f t="shared" si="66"/>
        <v>17</v>
      </c>
      <c r="D418733" s="5" t="s">
        <v>13</v>
      </c>
      <c r="E418733" s="11" t="s">
        <v>14</v>
      </c>
      <c r="F418733" s="9" t="s">
        <v>15</v>
      </c>
      <c r="G418733">
        <v>1</v>
      </c>
      <c r="J418733" s="7">
        <v>0.44</v>
      </c>
      <c r="K418733" s="11">
        <f t="shared" si="67"/>
        <v>2026</v>
      </c>
      <c r="L418733" t="s">
        <v>16</v>
      </c>
      <c r="M418733" t="s">
        <v>17</v>
      </c>
    </row>
    <row r="418734" spans="1:13" x14ac:dyDescent="0.25">
      <c r="A418734" s="6">
        <v>46135.25</v>
      </c>
      <c r="B418734" s="11">
        <f t="shared" si="65"/>
        <v>4</v>
      </c>
      <c r="C418734" s="11">
        <f t="shared" si="66"/>
        <v>17</v>
      </c>
      <c r="D418734" s="5" t="s">
        <v>13</v>
      </c>
      <c r="E418734" s="11" t="s">
        <v>14</v>
      </c>
      <c r="F418734" s="9" t="s">
        <v>22</v>
      </c>
      <c r="G418734">
        <v>1</v>
      </c>
      <c r="J418734" s="7">
        <v>1.78</v>
      </c>
      <c r="K418734" s="11">
        <f t="shared" si="67"/>
        <v>2026</v>
      </c>
      <c r="L418734" t="s">
        <v>16</v>
      </c>
      <c r="M418734" t="s">
        <v>17</v>
      </c>
    </row>
    <row r="418735" spans="1:13" x14ac:dyDescent="0.25">
      <c r="A418735" s="6">
        <v>46133</v>
      </c>
      <c r="B418735" s="11">
        <f t="shared" si="65"/>
        <v>4</v>
      </c>
      <c r="C418735" s="11">
        <f t="shared" si="66"/>
        <v>17</v>
      </c>
      <c r="D418735" s="5" t="s">
        <v>18</v>
      </c>
      <c r="E418735" s="11" t="s">
        <v>14</v>
      </c>
      <c r="F418735" s="9" t="s">
        <v>22</v>
      </c>
      <c r="G418735">
        <v>1</v>
      </c>
      <c r="J418735" s="7">
        <v>7.22</v>
      </c>
      <c r="K418735" s="11">
        <f t="shared" si="67"/>
        <v>2026</v>
      </c>
      <c r="L418735" t="s">
        <v>16</v>
      </c>
      <c r="M418735" t="s">
        <v>17</v>
      </c>
    </row>
    <row r="418736" spans="1:13" x14ac:dyDescent="0.25">
      <c r="A418736" s="6">
        <v>46133.291666666664</v>
      </c>
      <c r="B418736" s="11">
        <f t="shared" si="65"/>
        <v>4</v>
      </c>
      <c r="C418736" s="11">
        <f t="shared" si="66"/>
        <v>17</v>
      </c>
      <c r="D418736" s="5" t="s">
        <v>21</v>
      </c>
      <c r="E418736" s="11" t="s">
        <v>14</v>
      </c>
      <c r="F418736" s="9" t="s">
        <v>22</v>
      </c>
      <c r="G418736">
        <v>1</v>
      </c>
      <c r="J418736" s="7">
        <v>3.383</v>
      </c>
      <c r="K418736" s="11">
        <f t="shared" si="67"/>
        <v>2026</v>
      </c>
      <c r="L418736" t="s">
        <v>16</v>
      </c>
      <c r="M418736" t="s">
        <v>17</v>
      </c>
    </row>
    <row r="418737" spans="1:13" x14ac:dyDescent="0.25">
      <c r="A418737" s="6">
        <v>46131.416666666664</v>
      </c>
      <c r="B418737" s="11">
        <f t="shared" si="65"/>
        <v>4</v>
      </c>
      <c r="C418737" s="11">
        <f t="shared" si="66"/>
        <v>17</v>
      </c>
      <c r="D418737" s="5" t="s">
        <v>21</v>
      </c>
      <c r="E418737" s="11" t="s">
        <v>14</v>
      </c>
      <c r="F418737" s="9" t="s">
        <v>15</v>
      </c>
      <c r="G418737">
        <v>1</v>
      </c>
      <c r="J418737" s="7">
        <v>0.61199999999999999</v>
      </c>
      <c r="K418737" s="11">
        <f t="shared" si="67"/>
        <v>2026</v>
      </c>
      <c r="L418737" t="s">
        <v>16</v>
      </c>
      <c r="M418737" t="s">
        <v>17</v>
      </c>
    </row>
    <row r="418738" spans="1:13" x14ac:dyDescent="0.25">
      <c r="A418738" s="6">
        <v>46131</v>
      </c>
      <c r="B418738" s="11">
        <f t="shared" si="65"/>
        <v>4</v>
      </c>
      <c r="C418738" s="11">
        <f t="shared" si="66"/>
        <v>17</v>
      </c>
      <c r="D418738" s="5" t="s">
        <v>21</v>
      </c>
      <c r="E418738" s="11" t="s">
        <v>14</v>
      </c>
      <c r="F418738" s="9" t="s">
        <v>22</v>
      </c>
      <c r="G418738">
        <v>1</v>
      </c>
      <c r="J418738" s="7">
        <v>2.524</v>
      </c>
      <c r="K418738" s="11">
        <f t="shared" si="67"/>
        <v>2026</v>
      </c>
      <c r="L418738" t="s">
        <v>16</v>
      </c>
      <c r="M418738" t="s">
        <v>17</v>
      </c>
    </row>
    <row r="418739" spans="1:13" x14ac:dyDescent="0.25">
      <c r="A418739" s="6">
        <v>46131.416666666664</v>
      </c>
      <c r="B418739" s="11">
        <f t="shared" si="65"/>
        <v>4</v>
      </c>
      <c r="C418739" s="11">
        <f t="shared" si="66"/>
        <v>17</v>
      </c>
      <c r="D418739" s="5" t="s">
        <v>21</v>
      </c>
      <c r="E418739" s="11" t="s">
        <v>14</v>
      </c>
      <c r="F418739" s="9" t="s">
        <v>15</v>
      </c>
      <c r="G418739">
        <v>1</v>
      </c>
      <c r="J418739" s="7">
        <v>0.66200000000000003</v>
      </c>
      <c r="K418739" s="11">
        <f t="shared" si="67"/>
        <v>2026</v>
      </c>
      <c r="L418739" t="s">
        <v>16</v>
      </c>
      <c r="M418739" t="s">
        <v>17</v>
      </c>
    </row>
    <row r="418740" spans="1:13" x14ac:dyDescent="0.25">
      <c r="A418740" s="6">
        <v>46131.416666666664</v>
      </c>
      <c r="B418740" s="11">
        <f t="shared" si="65"/>
        <v>4</v>
      </c>
      <c r="C418740" s="11">
        <f t="shared" si="66"/>
        <v>17</v>
      </c>
      <c r="D418740" s="5" t="s">
        <v>21</v>
      </c>
      <c r="E418740" s="11" t="s">
        <v>14</v>
      </c>
      <c r="F418740" s="9" t="s">
        <v>15</v>
      </c>
      <c r="G418740">
        <v>1</v>
      </c>
      <c r="J418740" s="7">
        <v>1.0109999999999999</v>
      </c>
      <c r="K418740" s="11">
        <f t="shared" si="67"/>
        <v>2026</v>
      </c>
      <c r="L418740" t="s">
        <v>16</v>
      </c>
      <c r="M418740" t="s">
        <v>17</v>
      </c>
    </row>
    <row r="418741" spans="1:13" x14ac:dyDescent="0.25">
      <c r="A418741" s="6">
        <v>46136</v>
      </c>
      <c r="B418741" s="11">
        <f t="shared" si="65"/>
        <v>4</v>
      </c>
      <c r="C418741" s="11">
        <f t="shared" si="66"/>
        <v>17</v>
      </c>
      <c r="D418741" s="5" t="s">
        <v>21</v>
      </c>
      <c r="E418741" s="11" t="s">
        <v>14</v>
      </c>
      <c r="F418741" s="9" t="s">
        <v>22</v>
      </c>
      <c r="G418741">
        <v>1</v>
      </c>
      <c r="J418741" s="7">
        <v>14.802</v>
      </c>
      <c r="K418741" s="11">
        <f t="shared" si="67"/>
        <v>2026</v>
      </c>
      <c r="L418741" t="s">
        <v>16</v>
      </c>
      <c r="M418741" t="s">
        <v>17</v>
      </c>
    </row>
    <row r="418742" spans="1:13" x14ac:dyDescent="0.25">
      <c r="A418742" s="6">
        <v>46136.416666666664</v>
      </c>
      <c r="B418742" s="11">
        <f t="shared" si="65"/>
        <v>4</v>
      </c>
      <c r="C418742" s="11">
        <f t="shared" si="66"/>
        <v>17</v>
      </c>
      <c r="D418742" s="5" t="s">
        <v>21</v>
      </c>
      <c r="E418742" s="11" t="s">
        <v>14</v>
      </c>
      <c r="F418742" s="9" t="s">
        <v>22</v>
      </c>
      <c r="G418742">
        <v>1</v>
      </c>
      <c r="J418742" s="7">
        <v>5.09</v>
      </c>
      <c r="K418742" s="11">
        <f t="shared" si="67"/>
        <v>2026</v>
      </c>
      <c r="L418742" t="s">
        <v>16</v>
      </c>
      <c r="M418742" t="s">
        <v>17</v>
      </c>
    </row>
    <row r="418743" spans="1:13" x14ac:dyDescent="0.25">
      <c r="A418743" s="6">
        <v>46131.416666666664</v>
      </c>
      <c r="B418743" s="11">
        <f t="shared" si="65"/>
        <v>4</v>
      </c>
      <c r="C418743" s="11">
        <f t="shared" si="66"/>
        <v>17</v>
      </c>
      <c r="D418743" s="5" t="s">
        <v>21</v>
      </c>
      <c r="E418743" s="11" t="s">
        <v>14</v>
      </c>
      <c r="F418743" s="9" t="s">
        <v>15</v>
      </c>
      <c r="G418743">
        <v>1</v>
      </c>
      <c r="J418743" s="7">
        <v>3.258</v>
      </c>
      <c r="K418743" s="11">
        <f t="shared" si="67"/>
        <v>2026</v>
      </c>
      <c r="L418743" t="s">
        <v>16</v>
      </c>
      <c r="M418743" t="s">
        <v>17</v>
      </c>
    </row>
    <row r="418744" spans="1:13" x14ac:dyDescent="0.25">
      <c r="A418744" s="6">
        <v>46136</v>
      </c>
      <c r="B418744" s="11">
        <f t="shared" si="65"/>
        <v>4</v>
      </c>
      <c r="C418744" s="11">
        <f t="shared" si="66"/>
        <v>17</v>
      </c>
      <c r="D418744" s="5" t="s">
        <v>21</v>
      </c>
      <c r="E418744" s="11" t="s">
        <v>14</v>
      </c>
      <c r="F418744" s="9" t="s">
        <v>22</v>
      </c>
      <c r="G418744">
        <v>1</v>
      </c>
      <c r="J418744" s="7">
        <v>9.6690000000000005</v>
      </c>
      <c r="K418744" s="11">
        <f t="shared" si="67"/>
        <v>2026</v>
      </c>
      <c r="L418744" t="s">
        <v>16</v>
      </c>
      <c r="M418744" t="s">
        <v>17</v>
      </c>
    </row>
    <row r="418745" spans="1:13" x14ac:dyDescent="0.25">
      <c r="A418745" s="6">
        <v>46131.416666666664</v>
      </c>
      <c r="B418745" s="11">
        <f t="shared" si="65"/>
        <v>4</v>
      </c>
      <c r="C418745" s="11">
        <f t="shared" si="66"/>
        <v>17</v>
      </c>
      <c r="D418745" s="5" t="s">
        <v>21</v>
      </c>
      <c r="E418745" s="11" t="s">
        <v>14</v>
      </c>
      <c r="F418745" s="9" t="s">
        <v>15</v>
      </c>
      <c r="G418745">
        <v>1</v>
      </c>
      <c r="J418745" s="7">
        <v>0.42299999999999999</v>
      </c>
      <c r="K418745" s="11">
        <f t="shared" si="67"/>
        <v>2026</v>
      </c>
      <c r="L418745" t="s">
        <v>16</v>
      </c>
      <c r="M418745" t="s">
        <v>17</v>
      </c>
    </row>
    <row r="418746" spans="1:13" x14ac:dyDescent="0.25">
      <c r="A418746" s="6">
        <v>46135.25</v>
      </c>
      <c r="B418746" s="11">
        <f t="shared" si="65"/>
        <v>4</v>
      </c>
      <c r="C418746" s="11">
        <f t="shared" si="66"/>
        <v>17</v>
      </c>
      <c r="D418746" s="5" t="s">
        <v>21</v>
      </c>
      <c r="E418746" s="11" t="s">
        <v>14</v>
      </c>
      <c r="F418746" s="9" t="s">
        <v>15</v>
      </c>
      <c r="G418746">
        <v>1</v>
      </c>
      <c r="J418746" s="7">
        <v>10.726000000000001</v>
      </c>
      <c r="K418746" s="11">
        <f t="shared" si="67"/>
        <v>2026</v>
      </c>
      <c r="L418746" t="s">
        <v>16</v>
      </c>
      <c r="M418746" t="s">
        <v>17</v>
      </c>
    </row>
    <row r="418747" spans="1:13" x14ac:dyDescent="0.25">
      <c r="A418747" s="6">
        <v>46135</v>
      </c>
      <c r="B418747" s="11">
        <f t="shared" si="65"/>
        <v>4</v>
      </c>
      <c r="C418747" s="11">
        <f t="shared" si="66"/>
        <v>17</v>
      </c>
      <c r="D418747" s="5" t="s">
        <v>21</v>
      </c>
      <c r="E418747" s="11" t="s">
        <v>14</v>
      </c>
      <c r="F418747" s="9" t="s">
        <v>22</v>
      </c>
      <c r="G418747">
        <v>1</v>
      </c>
      <c r="J418747" s="7">
        <v>8.2219999999999995</v>
      </c>
      <c r="K418747" s="11">
        <f t="shared" si="67"/>
        <v>2026</v>
      </c>
      <c r="L418747" t="s">
        <v>16</v>
      </c>
      <c r="M418747" t="s">
        <v>17</v>
      </c>
    </row>
    <row r="418748" spans="1:13" x14ac:dyDescent="0.25">
      <c r="A418748" s="6">
        <v>46135</v>
      </c>
      <c r="B418748" s="11">
        <f t="shared" si="65"/>
        <v>4</v>
      </c>
      <c r="C418748" s="11">
        <f t="shared" si="66"/>
        <v>17</v>
      </c>
      <c r="D418748" s="5" t="s">
        <v>21</v>
      </c>
      <c r="E418748" s="11" t="s">
        <v>14</v>
      </c>
      <c r="F418748" s="9" t="s">
        <v>22</v>
      </c>
      <c r="G418748">
        <v>1</v>
      </c>
      <c r="J418748" s="7">
        <v>9.8030000000000008</v>
      </c>
      <c r="K418748" s="11">
        <f t="shared" si="67"/>
        <v>2026</v>
      </c>
      <c r="L418748" t="s">
        <v>16</v>
      </c>
      <c r="M418748" t="s">
        <v>17</v>
      </c>
    </row>
    <row r="418749" spans="1:13" x14ac:dyDescent="0.25">
      <c r="A418749" s="6">
        <v>46134</v>
      </c>
      <c r="B418749" s="11">
        <f t="shared" si="65"/>
        <v>4</v>
      </c>
      <c r="C418749" s="11">
        <f t="shared" si="66"/>
        <v>17</v>
      </c>
      <c r="D418749" s="5" t="s">
        <v>26</v>
      </c>
      <c r="E418749" s="11" t="s">
        <v>14</v>
      </c>
      <c r="F418749" s="9" t="s">
        <v>22</v>
      </c>
      <c r="G418749">
        <v>1</v>
      </c>
      <c r="J418749" s="7">
        <v>3.6659999999999999</v>
      </c>
      <c r="K418749" s="11">
        <f t="shared" si="67"/>
        <v>2026</v>
      </c>
      <c r="L418749" t="s">
        <v>16</v>
      </c>
      <c r="M418749" t="s">
        <v>17</v>
      </c>
    </row>
    <row r="418750" spans="1:13" x14ac:dyDescent="0.25">
      <c r="A418750" s="6">
        <v>46137</v>
      </c>
      <c r="B418750" s="11">
        <f t="shared" si="65"/>
        <v>4</v>
      </c>
      <c r="C418750" s="11">
        <f t="shared" si="66"/>
        <v>17</v>
      </c>
      <c r="D418750" s="5" t="s">
        <v>13</v>
      </c>
      <c r="E418750" s="11" t="s">
        <v>14</v>
      </c>
      <c r="F418750" s="9" t="s">
        <v>22</v>
      </c>
      <c r="G418750">
        <v>1</v>
      </c>
      <c r="J418750" s="7">
        <v>2.64</v>
      </c>
      <c r="K418750" s="11">
        <f t="shared" si="67"/>
        <v>2026</v>
      </c>
      <c r="L418750" t="s">
        <v>16</v>
      </c>
      <c r="M418750" t="s">
        <v>17</v>
      </c>
    </row>
    <row r="418751" spans="1:13" x14ac:dyDescent="0.25">
      <c r="A418751" s="6">
        <v>46132</v>
      </c>
      <c r="B418751" s="11">
        <f t="shared" si="65"/>
        <v>4</v>
      </c>
      <c r="C418751" s="11">
        <f t="shared" si="66"/>
        <v>17</v>
      </c>
      <c r="D418751" s="5" t="s">
        <v>13</v>
      </c>
      <c r="E418751" s="11" t="s">
        <v>14</v>
      </c>
      <c r="F418751" s="9" t="s">
        <v>22</v>
      </c>
      <c r="G418751">
        <v>1</v>
      </c>
      <c r="J418751" s="7">
        <v>7.49</v>
      </c>
      <c r="K418751" s="11">
        <f t="shared" si="67"/>
        <v>2026</v>
      </c>
      <c r="L418751" t="s">
        <v>16</v>
      </c>
      <c r="M418751" t="s">
        <v>17</v>
      </c>
    </row>
    <row r="418752" spans="1:13" x14ac:dyDescent="0.25">
      <c r="A418752" s="6">
        <v>46136.291666666664</v>
      </c>
      <c r="B418752" s="11">
        <f t="shared" si="65"/>
        <v>4</v>
      </c>
      <c r="C418752" s="11">
        <f t="shared" si="66"/>
        <v>17</v>
      </c>
      <c r="D418752" s="5" t="s">
        <v>13</v>
      </c>
      <c r="E418752" s="11" t="s">
        <v>14</v>
      </c>
      <c r="F418752" s="9" t="s">
        <v>22</v>
      </c>
      <c r="G418752">
        <v>1</v>
      </c>
      <c r="J418752" s="7">
        <v>9.1270000000000007</v>
      </c>
      <c r="K418752" s="11">
        <f t="shared" si="67"/>
        <v>2026</v>
      </c>
      <c r="L418752" t="s">
        <v>16</v>
      </c>
      <c r="M418752" t="s">
        <v>17</v>
      </c>
    </row>
    <row r="418753" spans="1:13" x14ac:dyDescent="0.25">
      <c r="A418753" s="6">
        <v>46135.25</v>
      </c>
      <c r="B418753" s="11">
        <f t="shared" si="65"/>
        <v>4</v>
      </c>
      <c r="C418753" s="11">
        <f t="shared" si="66"/>
        <v>17</v>
      </c>
      <c r="D418753" s="5" t="s">
        <v>13</v>
      </c>
      <c r="E418753" s="11" t="s">
        <v>14</v>
      </c>
      <c r="F418753" s="9" t="s">
        <v>22</v>
      </c>
      <c r="G418753">
        <v>1</v>
      </c>
      <c r="J418753" s="7">
        <v>4.3099999999999996</v>
      </c>
      <c r="K418753" s="11">
        <f t="shared" si="67"/>
        <v>2026</v>
      </c>
      <c r="L418753" t="s">
        <v>16</v>
      </c>
      <c r="M418753" t="s">
        <v>17</v>
      </c>
    </row>
    <row r="418754" spans="1:13" x14ac:dyDescent="0.25">
      <c r="A418754" s="6">
        <v>46132.583333333336</v>
      </c>
      <c r="B418754" s="11">
        <f t="shared" si="65"/>
        <v>4</v>
      </c>
      <c r="C418754" s="11">
        <f t="shared" si="66"/>
        <v>17</v>
      </c>
      <c r="D418754" s="5" t="s">
        <v>13</v>
      </c>
      <c r="E418754" s="11" t="s">
        <v>14</v>
      </c>
      <c r="F418754" s="9" t="s">
        <v>15</v>
      </c>
      <c r="G418754">
        <v>1</v>
      </c>
      <c r="J418754" s="7">
        <v>9.3249999999999993</v>
      </c>
      <c r="K418754" s="11">
        <f t="shared" si="67"/>
        <v>2026</v>
      </c>
      <c r="L418754" t="s">
        <v>16</v>
      </c>
      <c r="M418754" t="s">
        <v>17</v>
      </c>
    </row>
    <row r="418755" spans="1:13" x14ac:dyDescent="0.25">
      <c r="A418755" s="6">
        <v>46131.416666666664</v>
      </c>
      <c r="B418755" s="11">
        <f t="shared" si="65"/>
        <v>4</v>
      </c>
      <c r="C418755" s="11">
        <f t="shared" si="66"/>
        <v>17</v>
      </c>
      <c r="D418755" s="5" t="s">
        <v>13</v>
      </c>
      <c r="E418755" s="11" t="s">
        <v>14</v>
      </c>
      <c r="F418755" s="9" t="s">
        <v>15</v>
      </c>
      <c r="G418755">
        <v>1</v>
      </c>
      <c r="J418755" s="7">
        <v>1.28</v>
      </c>
      <c r="K418755" s="11">
        <f t="shared" si="67"/>
        <v>2026</v>
      </c>
      <c r="L418755" t="s">
        <v>16</v>
      </c>
      <c r="M418755" t="s">
        <v>17</v>
      </c>
    </row>
    <row r="418756" spans="1:13" x14ac:dyDescent="0.25">
      <c r="A418756" s="6">
        <v>46131.416666666664</v>
      </c>
      <c r="B418756" s="11">
        <f t="shared" si="65"/>
        <v>4</v>
      </c>
      <c r="C418756" s="11">
        <f t="shared" si="66"/>
        <v>17</v>
      </c>
      <c r="D418756" s="5" t="s">
        <v>13</v>
      </c>
      <c r="E418756" s="11" t="s">
        <v>14</v>
      </c>
      <c r="F418756" s="9" t="s">
        <v>15</v>
      </c>
      <c r="G418756">
        <v>1</v>
      </c>
      <c r="J418756" s="7">
        <v>1.24</v>
      </c>
      <c r="K418756" s="11">
        <f t="shared" si="67"/>
        <v>2026</v>
      </c>
      <c r="L418756" t="s">
        <v>16</v>
      </c>
      <c r="M418756" t="s">
        <v>17</v>
      </c>
    </row>
    <row r="418757" spans="1:13" x14ac:dyDescent="0.25">
      <c r="A418757" s="6">
        <v>46131.416666666664</v>
      </c>
      <c r="B418757" s="11">
        <f t="shared" si="65"/>
        <v>4</v>
      </c>
      <c r="C418757" s="11">
        <f t="shared" si="66"/>
        <v>17</v>
      </c>
      <c r="D418757" s="5" t="s">
        <v>13</v>
      </c>
      <c r="E418757" s="11" t="s">
        <v>14</v>
      </c>
      <c r="F418757" s="9" t="s">
        <v>15</v>
      </c>
      <c r="G418757">
        <v>1</v>
      </c>
      <c r="J418757" s="7">
        <v>5.3479999999999999</v>
      </c>
      <c r="K418757" s="11">
        <f t="shared" si="67"/>
        <v>2026</v>
      </c>
      <c r="L418757" t="s">
        <v>16</v>
      </c>
      <c r="M418757" t="s">
        <v>17</v>
      </c>
    </row>
    <row r="418758" spans="1:13" x14ac:dyDescent="0.25">
      <c r="A418758" s="6">
        <v>46133.300694444442</v>
      </c>
      <c r="B418758" s="11">
        <f t="shared" si="65"/>
        <v>4</v>
      </c>
      <c r="C418758" s="11">
        <f t="shared" si="66"/>
        <v>17</v>
      </c>
      <c r="D418758" s="5" t="s">
        <v>13</v>
      </c>
      <c r="E418758" s="11" t="s">
        <v>14</v>
      </c>
      <c r="F418758" s="9" t="s">
        <v>22</v>
      </c>
      <c r="G418758">
        <v>1</v>
      </c>
      <c r="J418758" s="7">
        <v>6.44</v>
      </c>
      <c r="K418758" s="11">
        <f t="shared" si="67"/>
        <v>2026</v>
      </c>
      <c r="L418758" t="s">
        <v>16</v>
      </c>
      <c r="M418758" t="s">
        <v>17</v>
      </c>
    </row>
    <row r="418759" spans="1:13" x14ac:dyDescent="0.25">
      <c r="A418759" s="6">
        <v>46133</v>
      </c>
      <c r="B418759" s="11">
        <f t="shared" si="65"/>
        <v>4</v>
      </c>
      <c r="C418759" s="11">
        <f t="shared" si="66"/>
        <v>17</v>
      </c>
      <c r="D418759" s="5" t="s">
        <v>13</v>
      </c>
      <c r="E418759" s="11" t="s">
        <v>14</v>
      </c>
      <c r="F418759" s="9" t="s">
        <v>22</v>
      </c>
      <c r="G418759">
        <v>1</v>
      </c>
      <c r="J418759" s="7">
        <v>1.24</v>
      </c>
      <c r="K418759" s="11">
        <f t="shared" si="67"/>
        <v>2026</v>
      </c>
      <c r="L418759" t="s">
        <v>16</v>
      </c>
      <c r="M418759" t="s">
        <v>17</v>
      </c>
    </row>
    <row r="418760" spans="1:13" x14ac:dyDescent="0.25">
      <c r="A418760" s="6">
        <v>46132.583333333336</v>
      </c>
      <c r="B418760" s="11">
        <f t="shared" si="65"/>
        <v>4</v>
      </c>
      <c r="C418760" s="11">
        <f t="shared" si="66"/>
        <v>17</v>
      </c>
      <c r="D418760" s="5" t="s">
        <v>13</v>
      </c>
      <c r="E418760" s="11" t="s">
        <v>14</v>
      </c>
      <c r="F418760" s="9" t="s">
        <v>15</v>
      </c>
      <c r="G418760">
        <v>1</v>
      </c>
      <c r="J418760" s="7">
        <v>5.7619999999999996</v>
      </c>
      <c r="K418760" s="11">
        <f t="shared" si="67"/>
        <v>2026</v>
      </c>
      <c r="L418760" t="s">
        <v>16</v>
      </c>
      <c r="M418760" t="s">
        <v>17</v>
      </c>
    </row>
    <row r="418761" spans="1:13" x14ac:dyDescent="0.25">
      <c r="A418761" s="6">
        <v>46131.416666666664</v>
      </c>
      <c r="B418761" s="11">
        <f t="shared" si="65"/>
        <v>4</v>
      </c>
      <c r="C418761" s="11">
        <f t="shared" si="66"/>
        <v>17</v>
      </c>
      <c r="D418761" s="5" t="s">
        <v>13</v>
      </c>
      <c r="E418761" s="11" t="s">
        <v>14</v>
      </c>
      <c r="F418761" s="9" t="s">
        <v>15</v>
      </c>
      <c r="G418761">
        <v>1</v>
      </c>
      <c r="J418761" s="7">
        <v>0.69099999999999995</v>
      </c>
      <c r="K418761" s="11">
        <f t="shared" si="67"/>
        <v>2026</v>
      </c>
      <c r="L418761" t="s">
        <v>16</v>
      </c>
      <c r="M418761" t="s">
        <v>17</v>
      </c>
    </row>
    <row r="418762" spans="1:13" x14ac:dyDescent="0.25">
      <c r="A418762" s="6">
        <v>46132.583333333336</v>
      </c>
      <c r="B418762" s="11">
        <f t="shared" si="65"/>
        <v>4</v>
      </c>
      <c r="C418762" s="11">
        <f t="shared" si="66"/>
        <v>17</v>
      </c>
      <c r="D418762" s="5" t="s">
        <v>13</v>
      </c>
      <c r="E418762" s="11" t="s">
        <v>14</v>
      </c>
      <c r="F418762" s="9" t="s">
        <v>15</v>
      </c>
      <c r="G418762">
        <v>1</v>
      </c>
      <c r="J418762" s="7">
        <v>8.7100000000000009</v>
      </c>
      <c r="K418762" s="11">
        <f t="shared" si="67"/>
        <v>2026</v>
      </c>
      <c r="L418762" t="s">
        <v>16</v>
      </c>
      <c r="M418762" t="s">
        <v>17</v>
      </c>
    </row>
    <row r="418763" spans="1:13" x14ac:dyDescent="0.25">
      <c r="A418763" s="6">
        <v>46133.300694444442</v>
      </c>
      <c r="B418763" s="11">
        <f t="shared" si="65"/>
        <v>4</v>
      </c>
      <c r="C418763" s="11">
        <f t="shared" si="66"/>
        <v>17</v>
      </c>
      <c r="D418763" s="5" t="s">
        <v>13</v>
      </c>
      <c r="E418763" s="11" t="s">
        <v>14</v>
      </c>
      <c r="F418763" s="9" t="s">
        <v>15</v>
      </c>
      <c r="G418763">
        <v>1</v>
      </c>
      <c r="J418763" s="7">
        <v>9.66</v>
      </c>
      <c r="K418763" s="11">
        <f t="shared" si="67"/>
        <v>2026</v>
      </c>
      <c r="L418763" t="s">
        <v>16</v>
      </c>
      <c r="M418763" t="s">
        <v>17</v>
      </c>
    </row>
    <row r="418764" spans="1:13" x14ac:dyDescent="0.25">
      <c r="A418764" s="6">
        <v>46133</v>
      </c>
      <c r="B418764" s="11">
        <f t="shared" si="65"/>
        <v>4</v>
      </c>
      <c r="C418764" s="11">
        <f t="shared" si="66"/>
        <v>17</v>
      </c>
      <c r="D418764" s="5" t="s">
        <v>13</v>
      </c>
      <c r="E418764" s="11" t="s">
        <v>14</v>
      </c>
      <c r="F418764" s="9" t="s">
        <v>22</v>
      </c>
      <c r="G418764">
        <v>1</v>
      </c>
      <c r="J418764" s="7">
        <v>14.42</v>
      </c>
      <c r="K418764" s="11">
        <f t="shared" si="67"/>
        <v>2026</v>
      </c>
      <c r="L418764" t="s">
        <v>16</v>
      </c>
      <c r="M418764" t="s">
        <v>17</v>
      </c>
    </row>
    <row r="418765" spans="1:13" x14ac:dyDescent="0.25">
      <c r="A418765" s="6">
        <v>46134</v>
      </c>
      <c r="B418765" s="11">
        <f t="shared" si="65"/>
        <v>4</v>
      </c>
      <c r="C418765" s="11">
        <f t="shared" si="66"/>
        <v>17</v>
      </c>
      <c r="D418765" s="5" t="s">
        <v>13</v>
      </c>
      <c r="E418765" s="11" t="s">
        <v>14</v>
      </c>
      <c r="F418765" s="9" t="s">
        <v>15</v>
      </c>
      <c r="G418765">
        <v>1</v>
      </c>
      <c r="J418765" s="7">
        <v>11.568</v>
      </c>
      <c r="K418765" s="11">
        <f t="shared" si="67"/>
        <v>2026</v>
      </c>
      <c r="L418765" t="s">
        <v>16</v>
      </c>
      <c r="M418765" t="s">
        <v>17</v>
      </c>
    </row>
    <row r="418766" spans="1:13" x14ac:dyDescent="0.25">
      <c r="A418766" s="6">
        <v>46135.25</v>
      </c>
      <c r="B418766" s="11">
        <f t="shared" si="65"/>
        <v>4</v>
      </c>
      <c r="C418766" s="11">
        <f t="shared" si="66"/>
        <v>17</v>
      </c>
      <c r="D418766" s="5" t="s">
        <v>13</v>
      </c>
      <c r="E418766" s="11" t="s">
        <v>14</v>
      </c>
      <c r="F418766" s="9" t="s">
        <v>15</v>
      </c>
      <c r="G418766">
        <v>1</v>
      </c>
      <c r="J418766" s="7">
        <v>10.593999999999999</v>
      </c>
      <c r="K418766" s="11">
        <f t="shared" si="67"/>
        <v>2026</v>
      </c>
      <c r="L418766" t="s">
        <v>16</v>
      </c>
      <c r="M418766" t="s">
        <v>17</v>
      </c>
    </row>
    <row r="418767" spans="1:13" x14ac:dyDescent="0.25">
      <c r="A418767" s="6">
        <v>46140</v>
      </c>
      <c r="B418767" s="11">
        <f t="shared" ref="B418767" si="68">MONTH(A418767)</f>
        <v>4</v>
      </c>
      <c r="C418767" s="11">
        <f t="shared" ref="C418767" si="69">WEEKNUM(A418767)</f>
        <v>18</v>
      </c>
      <c r="D418767" s="5" t="s">
        <v>18</v>
      </c>
      <c r="E418767" s="11" t="s">
        <v>14</v>
      </c>
      <c r="F418767" s="9" t="s">
        <v>22</v>
      </c>
      <c r="G418767">
        <v>1</v>
      </c>
      <c r="J418767" s="7">
        <v>9.2010000000000005</v>
      </c>
      <c r="K418767" s="11">
        <f t="shared" ref="K418767:K418830" si="70">YEAR(A418767)</f>
        <v>2026</v>
      </c>
      <c r="L418767" t="s">
        <v>16</v>
      </c>
      <c r="M418767" t="s">
        <v>17</v>
      </c>
    </row>
    <row r="418768" spans="1:13" x14ac:dyDescent="0.25">
      <c r="A418768" s="6">
        <v>46140</v>
      </c>
      <c r="B418768" s="11">
        <f t="shared" ref="B418768:B418810" si="71">MONTH(A418768)</f>
        <v>4</v>
      </c>
      <c r="C418768" s="11">
        <f t="shared" ref="C418768:C418810" si="72">WEEKNUM(A418768)</f>
        <v>18</v>
      </c>
      <c r="D418768" s="5" t="s">
        <v>18</v>
      </c>
      <c r="E418768" s="11" t="s">
        <v>14</v>
      </c>
      <c r="F418768" s="9" t="s">
        <v>22</v>
      </c>
      <c r="G418768">
        <v>1</v>
      </c>
      <c r="J418768" s="7">
        <v>4.84</v>
      </c>
      <c r="K418768" s="11">
        <f t="shared" si="70"/>
        <v>2026</v>
      </c>
      <c r="L418768" t="s">
        <v>16</v>
      </c>
      <c r="M418768" t="s">
        <v>17</v>
      </c>
    </row>
    <row r="418769" spans="1:13" x14ac:dyDescent="0.25">
      <c r="A418769" s="6">
        <v>46138.708333333336</v>
      </c>
      <c r="B418769" s="11">
        <f t="shared" si="71"/>
        <v>4</v>
      </c>
      <c r="C418769" s="11">
        <f t="shared" si="72"/>
        <v>18</v>
      </c>
      <c r="D418769" s="5" t="s">
        <v>18</v>
      </c>
      <c r="E418769" s="11" t="s">
        <v>14</v>
      </c>
      <c r="F418769" s="9" t="s">
        <v>15</v>
      </c>
      <c r="G418769">
        <v>1</v>
      </c>
      <c r="J418769" s="7">
        <v>6.7000000000000004E-2</v>
      </c>
      <c r="K418769" s="11">
        <f t="shared" si="70"/>
        <v>2026</v>
      </c>
      <c r="L418769" t="s">
        <v>16</v>
      </c>
      <c r="M418769" t="s">
        <v>17</v>
      </c>
    </row>
    <row r="418770" spans="1:13" x14ac:dyDescent="0.25">
      <c r="A418770" s="6">
        <v>46142.416666666664</v>
      </c>
      <c r="B418770" s="11">
        <f t="shared" si="71"/>
        <v>4</v>
      </c>
      <c r="C418770" s="11">
        <f t="shared" si="72"/>
        <v>18</v>
      </c>
      <c r="D418770" s="5" t="s">
        <v>18</v>
      </c>
      <c r="E418770" s="11" t="s">
        <v>14</v>
      </c>
      <c r="F418770" s="9" t="s">
        <v>15</v>
      </c>
      <c r="G418770">
        <v>1</v>
      </c>
      <c r="J418770" s="7">
        <v>3.3260000000000001</v>
      </c>
      <c r="K418770" s="11">
        <f t="shared" si="70"/>
        <v>2026</v>
      </c>
      <c r="L418770" t="s">
        <v>16</v>
      </c>
      <c r="M418770" t="s">
        <v>17</v>
      </c>
    </row>
    <row r="418771" spans="1:13" x14ac:dyDescent="0.25">
      <c r="A418771" s="6">
        <v>46140.791666666664</v>
      </c>
      <c r="B418771" s="11">
        <f t="shared" si="71"/>
        <v>4</v>
      </c>
      <c r="C418771" s="11">
        <f t="shared" si="72"/>
        <v>18</v>
      </c>
      <c r="D418771" s="5" t="s">
        <v>18</v>
      </c>
      <c r="E418771" s="11" t="s">
        <v>14</v>
      </c>
      <c r="F418771" s="9" t="s">
        <v>15</v>
      </c>
      <c r="G418771">
        <v>1</v>
      </c>
      <c r="J418771" s="7">
        <v>1.3919999999999999</v>
      </c>
      <c r="K418771" s="11">
        <f t="shared" si="70"/>
        <v>2026</v>
      </c>
      <c r="L418771" t="s">
        <v>16</v>
      </c>
      <c r="M418771" t="s">
        <v>17</v>
      </c>
    </row>
    <row r="418772" spans="1:13" x14ac:dyDescent="0.25">
      <c r="A418772" s="6">
        <v>46142.416666666664</v>
      </c>
      <c r="B418772" s="11">
        <f t="shared" si="71"/>
        <v>4</v>
      </c>
      <c r="C418772" s="11">
        <f t="shared" si="72"/>
        <v>18</v>
      </c>
      <c r="D418772" s="5" t="s">
        <v>18</v>
      </c>
      <c r="E418772" s="11" t="s">
        <v>14</v>
      </c>
      <c r="F418772" s="9" t="s">
        <v>15</v>
      </c>
      <c r="G418772">
        <v>1</v>
      </c>
      <c r="J418772" s="7">
        <v>0.53200000000000003</v>
      </c>
      <c r="K418772" s="11">
        <f t="shared" si="70"/>
        <v>2026</v>
      </c>
      <c r="L418772" t="s">
        <v>16</v>
      </c>
      <c r="M418772" t="s">
        <v>17</v>
      </c>
    </row>
    <row r="418773" spans="1:13" x14ac:dyDescent="0.25">
      <c r="A418773" s="6">
        <v>46143</v>
      </c>
      <c r="B418773" s="11">
        <f t="shared" si="71"/>
        <v>5</v>
      </c>
      <c r="C418773" s="11">
        <f t="shared" si="72"/>
        <v>18</v>
      </c>
      <c r="D418773" s="5" t="s">
        <v>18</v>
      </c>
      <c r="E418773" s="11" t="s">
        <v>14</v>
      </c>
      <c r="F418773" s="9" t="s">
        <v>22</v>
      </c>
      <c r="G418773">
        <v>1</v>
      </c>
      <c r="J418773" s="7">
        <v>2.052</v>
      </c>
      <c r="K418773" s="11">
        <f t="shared" si="70"/>
        <v>2026</v>
      </c>
      <c r="L418773" t="s">
        <v>16</v>
      </c>
      <c r="M418773" t="s">
        <v>17</v>
      </c>
    </row>
    <row r="418774" spans="1:13" x14ac:dyDescent="0.25">
      <c r="A418774" s="6">
        <v>46143</v>
      </c>
      <c r="B418774" s="11">
        <f t="shared" si="71"/>
        <v>5</v>
      </c>
      <c r="C418774" s="11">
        <f t="shared" si="72"/>
        <v>18</v>
      </c>
      <c r="D418774" s="5" t="s">
        <v>18</v>
      </c>
      <c r="E418774" s="11" t="s">
        <v>14</v>
      </c>
      <c r="F418774" s="9" t="s">
        <v>22</v>
      </c>
      <c r="G418774">
        <v>1</v>
      </c>
      <c r="J418774" s="7">
        <v>0.63800000000000001</v>
      </c>
      <c r="K418774" s="11">
        <f t="shared" si="70"/>
        <v>2026</v>
      </c>
      <c r="L418774" t="s">
        <v>16</v>
      </c>
      <c r="M418774" t="s">
        <v>17</v>
      </c>
    </row>
    <row r="418775" spans="1:13" x14ac:dyDescent="0.25">
      <c r="A418775" s="6">
        <v>46142.416666666664</v>
      </c>
      <c r="B418775" s="11">
        <f t="shared" si="71"/>
        <v>4</v>
      </c>
      <c r="C418775" s="11">
        <f t="shared" si="72"/>
        <v>18</v>
      </c>
      <c r="D418775" s="5" t="s">
        <v>18</v>
      </c>
      <c r="E418775" s="11" t="s">
        <v>14</v>
      </c>
      <c r="F418775" s="9" t="s">
        <v>15</v>
      </c>
      <c r="G418775">
        <v>1</v>
      </c>
      <c r="J418775" s="7">
        <v>0.219</v>
      </c>
      <c r="K418775" s="11">
        <f t="shared" si="70"/>
        <v>2026</v>
      </c>
      <c r="L418775" t="s">
        <v>16</v>
      </c>
      <c r="M418775" t="s">
        <v>17</v>
      </c>
    </row>
    <row r="418776" spans="1:13" x14ac:dyDescent="0.25">
      <c r="A418776" s="6">
        <v>46142.416666666664</v>
      </c>
      <c r="B418776" s="11">
        <f t="shared" si="71"/>
        <v>4</v>
      </c>
      <c r="C418776" s="11">
        <f t="shared" si="72"/>
        <v>18</v>
      </c>
      <c r="D418776" s="5" t="s">
        <v>18</v>
      </c>
      <c r="E418776" s="11" t="s">
        <v>14</v>
      </c>
      <c r="F418776" s="9" t="s">
        <v>15</v>
      </c>
      <c r="G418776">
        <v>1</v>
      </c>
      <c r="J418776" s="7">
        <v>0.67200000000000004</v>
      </c>
      <c r="K418776" s="11">
        <f t="shared" si="70"/>
        <v>2026</v>
      </c>
      <c r="L418776" t="s">
        <v>16</v>
      </c>
      <c r="M418776" t="s">
        <v>17</v>
      </c>
    </row>
    <row r="418777" spans="1:13" x14ac:dyDescent="0.25">
      <c r="A418777" s="6">
        <v>46142.416666666664</v>
      </c>
      <c r="B418777" s="11">
        <f t="shared" si="71"/>
        <v>4</v>
      </c>
      <c r="C418777" s="11">
        <f t="shared" si="72"/>
        <v>18</v>
      </c>
      <c r="D418777" s="5" t="s">
        <v>18</v>
      </c>
      <c r="E418777" s="11" t="s">
        <v>14</v>
      </c>
      <c r="F418777" s="9" t="s">
        <v>15</v>
      </c>
      <c r="G418777">
        <v>1</v>
      </c>
      <c r="J418777" s="7">
        <v>0.63800000000000001</v>
      </c>
      <c r="K418777" s="11">
        <f t="shared" si="70"/>
        <v>2026</v>
      </c>
      <c r="L418777" t="s">
        <v>16</v>
      </c>
      <c r="M418777" t="s">
        <v>17</v>
      </c>
    </row>
    <row r="418778" spans="1:13" x14ac:dyDescent="0.25">
      <c r="A418778" s="6">
        <v>46142.416666666664</v>
      </c>
      <c r="B418778" s="11">
        <f t="shared" si="71"/>
        <v>4</v>
      </c>
      <c r="C418778" s="11">
        <f t="shared" si="72"/>
        <v>18</v>
      </c>
      <c r="D418778" s="5" t="s">
        <v>18</v>
      </c>
      <c r="E418778" s="11" t="s">
        <v>14</v>
      </c>
      <c r="F418778" s="9" t="s">
        <v>15</v>
      </c>
      <c r="G418778">
        <v>1</v>
      </c>
      <c r="J418778" s="7">
        <v>0.46800000000000003</v>
      </c>
      <c r="K418778" s="11">
        <f t="shared" si="70"/>
        <v>2026</v>
      </c>
      <c r="L418778" t="s">
        <v>16</v>
      </c>
      <c r="M418778" t="s">
        <v>17</v>
      </c>
    </row>
    <row r="418779" spans="1:13" x14ac:dyDescent="0.25">
      <c r="A418779" s="6">
        <v>46142.416666666664</v>
      </c>
      <c r="B418779" s="11">
        <f t="shared" si="71"/>
        <v>4</v>
      </c>
      <c r="C418779" s="11">
        <f t="shared" si="72"/>
        <v>18</v>
      </c>
      <c r="D418779" s="5" t="s">
        <v>18</v>
      </c>
      <c r="E418779" s="11" t="s">
        <v>14</v>
      </c>
      <c r="F418779" s="9" t="s">
        <v>15</v>
      </c>
      <c r="G418779">
        <v>1</v>
      </c>
      <c r="J418779" s="7">
        <v>0.67200000000000004</v>
      </c>
      <c r="K418779" s="11">
        <f t="shared" si="70"/>
        <v>2026</v>
      </c>
      <c r="L418779" t="s">
        <v>16</v>
      </c>
      <c r="M418779" t="s">
        <v>17</v>
      </c>
    </row>
    <row r="418780" spans="1:13" x14ac:dyDescent="0.25">
      <c r="A418780" s="6">
        <v>46143</v>
      </c>
      <c r="B418780" s="11">
        <f t="shared" si="71"/>
        <v>5</v>
      </c>
      <c r="C418780" s="11">
        <f t="shared" si="72"/>
        <v>18</v>
      </c>
      <c r="D418780" s="5" t="s">
        <v>18</v>
      </c>
      <c r="E418780" s="11" t="s">
        <v>14</v>
      </c>
      <c r="F418780" s="9" t="s">
        <v>22</v>
      </c>
      <c r="G418780">
        <v>1</v>
      </c>
      <c r="J418780" s="7">
        <v>2.6859999999999999</v>
      </c>
      <c r="K418780" s="11">
        <f t="shared" si="70"/>
        <v>2026</v>
      </c>
      <c r="L418780" t="s">
        <v>16</v>
      </c>
      <c r="M418780" t="s">
        <v>17</v>
      </c>
    </row>
    <row r="418781" spans="1:13" x14ac:dyDescent="0.25">
      <c r="A418781" s="6">
        <v>46142.416666666664</v>
      </c>
      <c r="B418781" s="11">
        <f t="shared" si="71"/>
        <v>4</v>
      </c>
      <c r="C418781" s="11">
        <f t="shared" si="72"/>
        <v>18</v>
      </c>
      <c r="D418781" s="5" t="s">
        <v>18</v>
      </c>
      <c r="E418781" s="11" t="s">
        <v>14</v>
      </c>
      <c r="F418781" s="9" t="s">
        <v>15</v>
      </c>
      <c r="G418781">
        <v>1</v>
      </c>
      <c r="J418781" s="7">
        <v>2.7360000000000002</v>
      </c>
      <c r="K418781" s="11">
        <f t="shared" si="70"/>
        <v>2026</v>
      </c>
      <c r="L418781" t="s">
        <v>16</v>
      </c>
      <c r="M418781" t="s">
        <v>17</v>
      </c>
    </row>
    <row r="418782" spans="1:13" x14ac:dyDescent="0.25">
      <c r="A418782" s="6">
        <v>46143</v>
      </c>
      <c r="B418782" s="11">
        <f t="shared" si="71"/>
        <v>5</v>
      </c>
      <c r="C418782" s="11">
        <f t="shared" si="72"/>
        <v>18</v>
      </c>
      <c r="D418782" s="5" t="s">
        <v>18</v>
      </c>
      <c r="E418782" s="11" t="s">
        <v>14</v>
      </c>
      <c r="F418782" s="9" t="s">
        <v>22</v>
      </c>
      <c r="G418782">
        <v>1</v>
      </c>
      <c r="J418782" s="7">
        <v>2.7360000000000002</v>
      </c>
      <c r="K418782" s="11">
        <f t="shared" si="70"/>
        <v>2026</v>
      </c>
      <c r="L418782" t="s">
        <v>16</v>
      </c>
      <c r="M418782" t="s">
        <v>17</v>
      </c>
    </row>
    <row r="418783" spans="1:13" x14ac:dyDescent="0.25">
      <c r="A418783" s="6">
        <v>46142</v>
      </c>
      <c r="B418783" s="11">
        <f t="shared" si="71"/>
        <v>4</v>
      </c>
      <c r="C418783" s="11">
        <f t="shared" si="72"/>
        <v>18</v>
      </c>
      <c r="D418783" s="5" t="s">
        <v>18</v>
      </c>
      <c r="E418783" s="11" t="s">
        <v>14</v>
      </c>
      <c r="F418783" s="9" t="s">
        <v>22</v>
      </c>
      <c r="G418783">
        <v>1</v>
      </c>
      <c r="J418783" s="7">
        <v>4.7039999999999997</v>
      </c>
      <c r="K418783" s="11">
        <f t="shared" si="70"/>
        <v>2026</v>
      </c>
      <c r="L418783" t="s">
        <v>16</v>
      </c>
      <c r="M418783" t="s">
        <v>17</v>
      </c>
    </row>
    <row r="418784" spans="1:13" x14ac:dyDescent="0.25">
      <c r="A418784" s="6">
        <v>46143</v>
      </c>
      <c r="B418784" s="11">
        <f t="shared" si="71"/>
        <v>5</v>
      </c>
      <c r="C418784" s="11">
        <f t="shared" si="72"/>
        <v>18</v>
      </c>
      <c r="D418784" s="5" t="s">
        <v>18</v>
      </c>
      <c r="E418784" s="11" t="s">
        <v>14</v>
      </c>
      <c r="F418784" s="9" t="s">
        <v>22</v>
      </c>
      <c r="G418784">
        <v>1</v>
      </c>
      <c r="J418784" s="7">
        <v>5.6440000000000001</v>
      </c>
      <c r="K418784" s="11">
        <f t="shared" si="70"/>
        <v>2026</v>
      </c>
      <c r="L418784" t="s">
        <v>16</v>
      </c>
      <c r="M418784" t="s">
        <v>17</v>
      </c>
    </row>
    <row r="418785" spans="1:13" x14ac:dyDescent="0.25">
      <c r="A418785" s="6">
        <v>46138.708333333336</v>
      </c>
      <c r="B418785" s="11">
        <f t="shared" si="71"/>
        <v>4</v>
      </c>
      <c r="C418785" s="11">
        <f t="shared" si="72"/>
        <v>18</v>
      </c>
      <c r="D418785" s="5" t="s">
        <v>18</v>
      </c>
      <c r="E418785" s="11" t="s">
        <v>14</v>
      </c>
      <c r="F418785" s="9" t="s">
        <v>15</v>
      </c>
      <c r="G418785">
        <v>1</v>
      </c>
      <c r="J418785" s="7">
        <v>0.05</v>
      </c>
      <c r="K418785" s="11">
        <f t="shared" si="70"/>
        <v>2026</v>
      </c>
      <c r="L418785" t="s">
        <v>16</v>
      </c>
      <c r="M418785" t="s">
        <v>17</v>
      </c>
    </row>
    <row r="418786" spans="1:13" x14ac:dyDescent="0.25">
      <c r="A418786" s="6">
        <v>46138.708333333336</v>
      </c>
      <c r="B418786" s="11">
        <f t="shared" si="71"/>
        <v>4</v>
      </c>
      <c r="C418786" s="11">
        <f t="shared" si="72"/>
        <v>18</v>
      </c>
      <c r="D418786" s="5" t="s">
        <v>18</v>
      </c>
      <c r="E418786" s="11" t="s">
        <v>14</v>
      </c>
      <c r="F418786" s="9" t="s">
        <v>15</v>
      </c>
      <c r="G418786">
        <v>1</v>
      </c>
      <c r="J418786" s="7">
        <v>3.16</v>
      </c>
      <c r="K418786" s="11">
        <f t="shared" si="70"/>
        <v>2026</v>
      </c>
      <c r="L418786" t="s">
        <v>16</v>
      </c>
      <c r="M418786" t="s">
        <v>17</v>
      </c>
    </row>
    <row r="418787" spans="1:13" x14ac:dyDescent="0.25">
      <c r="A418787" s="6">
        <v>46143</v>
      </c>
      <c r="B418787" s="11">
        <f t="shared" si="71"/>
        <v>5</v>
      </c>
      <c r="C418787" s="11">
        <f t="shared" si="72"/>
        <v>18</v>
      </c>
      <c r="D418787" s="5" t="s">
        <v>18</v>
      </c>
      <c r="E418787" s="11" t="s">
        <v>14</v>
      </c>
      <c r="F418787" s="9" t="s">
        <v>22</v>
      </c>
      <c r="G418787">
        <v>1</v>
      </c>
      <c r="J418787" s="7">
        <v>0.68400000000000005</v>
      </c>
      <c r="K418787" s="11">
        <f t="shared" si="70"/>
        <v>2026</v>
      </c>
      <c r="L418787" t="s">
        <v>16</v>
      </c>
      <c r="M418787" t="s">
        <v>17</v>
      </c>
    </row>
    <row r="418788" spans="1:13" x14ac:dyDescent="0.25">
      <c r="A418788" s="6">
        <v>46143</v>
      </c>
      <c r="B418788" s="11">
        <f t="shared" si="71"/>
        <v>5</v>
      </c>
      <c r="C418788" s="11">
        <f t="shared" si="72"/>
        <v>18</v>
      </c>
      <c r="D418788" s="5" t="s">
        <v>18</v>
      </c>
      <c r="E418788" s="11" t="s">
        <v>14</v>
      </c>
      <c r="F418788" s="9" t="s">
        <v>22</v>
      </c>
      <c r="G418788">
        <v>1</v>
      </c>
      <c r="J418788" s="7">
        <v>3.5640000000000001</v>
      </c>
      <c r="K418788" s="11">
        <f t="shared" si="70"/>
        <v>2026</v>
      </c>
      <c r="L418788" t="s">
        <v>16</v>
      </c>
      <c r="M418788" t="s">
        <v>17</v>
      </c>
    </row>
    <row r="418789" spans="1:13" x14ac:dyDescent="0.25">
      <c r="A418789" s="6">
        <v>46143</v>
      </c>
      <c r="B418789" s="11">
        <f t="shared" si="71"/>
        <v>5</v>
      </c>
      <c r="C418789" s="11">
        <f t="shared" si="72"/>
        <v>18</v>
      </c>
      <c r="D418789" s="5" t="s">
        <v>18</v>
      </c>
      <c r="E418789" s="11" t="s">
        <v>14</v>
      </c>
      <c r="F418789" s="9" t="s">
        <v>22</v>
      </c>
      <c r="G418789">
        <v>1</v>
      </c>
      <c r="J418789" s="7">
        <v>0.78200000000000003</v>
      </c>
      <c r="K418789" s="11">
        <f t="shared" si="70"/>
        <v>2026</v>
      </c>
      <c r="L418789" t="s">
        <v>16</v>
      </c>
      <c r="M418789" t="s">
        <v>17</v>
      </c>
    </row>
    <row r="418790" spans="1:13" x14ac:dyDescent="0.25">
      <c r="A418790" s="6">
        <v>46143</v>
      </c>
      <c r="B418790" s="11">
        <f t="shared" si="71"/>
        <v>5</v>
      </c>
      <c r="C418790" s="11">
        <f t="shared" si="72"/>
        <v>18</v>
      </c>
      <c r="D418790" s="5" t="s">
        <v>18</v>
      </c>
      <c r="E418790" s="11" t="s">
        <v>14</v>
      </c>
      <c r="F418790" s="9" t="s">
        <v>22</v>
      </c>
      <c r="G418790">
        <v>1</v>
      </c>
      <c r="J418790" s="7">
        <v>3.36</v>
      </c>
      <c r="K418790" s="11">
        <f t="shared" si="70"/>
        <v>2026</v>
      </c>
      <c r="L418790" t="s">
        <v>16</v>
      </c>
      <c r="M418790" t="s">
        <v>17</v>
      </c>
    </row>
    <row r="418791" spans="1:13" x14ac:dyDescent="0.25">
      <c r="A418791" s="6">
        <v>46142</v>
      </c>
      <c r="B418791" s="11">
        <f t="shared" si="71"/>
        <v>4</v>
      </c>
      <c r="C418791" s="11">
        <f t="shared" si="72"/>
        <v>18</v>
      </c>
      <c r="D418791" s="5" t="s">
        <v>18</v>
      </c>
      <c r="E418791" s="11" t="s">
        <v>14</v>
      </c>
      <c r="F418791" s="9" t="s">
        <v>22</v>
      </c>
      <c r="G418791">
        <v>1</v>
      </c>
      <c r="J418791" s="7">
        <v>1.3440000000000001</v>
      </c>
      <c r="K418791" s="11">
        <f t="shared" si="70"/>
        <v>2026</v>
      </c>
      <c r="L418791" t="s">
        <v>16</v>
      </c>
      <c r="M418791" t="s">
        <v>17</v>
      </c>
    </row>
    <row r="418792" spans="1:13" x14ac:dyDescent="0.25">
      <c r="A418792" s="6">
        <v>46142</v>
      </c>
      <c r="B418792" s="11">
        <f t="shared" si="71"/>
        <v>4</v>
      </c>
      <c r="C418792" s="11">
        <f t="shared" si="72"/>
        <v>18</v>
      </c>
      <c r="D418792" s="5" t="s">
        <v>18</v>
      </c>
      <c r="E418792" s="11" t="s">
        <v>14</v>
      </c>
      <c r="F418792" s="9" t="s">
        <v>22</v>
      </c>
      <c r="G418792">
        <v>1</v>
      </c>
      <c r="J418792" s="7">
        <v>2.6880000000000002</v>
      </c>
      <c r="K418792" s="11">
        <f t="shared" si="70"/>
        <v>2026</v>
      </c>
      <c r="L418792" t="s">
        <v>16</v>
      </c>
      <c r="M418792" t="s">
        <v>17</v>
      </c>
    </row>
    <row r="418793" spans="1:13" x14ac:dyDescent="0.25">
      <c r="A418793" s="6">
        <v>46142</v>
      </c>
      <c r="B418793" s="11">
        <f t="shared" si="71"/>
        <v>4</v>
      </c>
      <c r="C418793" s="11">
        <f t="shared" si="72"/>
        <v>18</v>
      </c>
      <c r="D418793" s="5" t="s">
        <v>18</v>
      </c>
      <c r="E418793" s="11" t="s">
        <v>14</v>
      </c>
      <c r="F418793" s="9" t="s">
        <v>22</v>
      </c>
      <c r="G418793">
        <v>1</v>
      </c>
      <c r="J418793" s="7">
        <v>2.016</v>
      </c>
      <c r="K418793" s="11">
        <f t="shared" si="70"/>
        <v>2026</v>
      </c>
      <c r="L418793" t="s">
        <v>16</v>
      </c>
      <c r="M418793" t="s">
        <v>17</v>
      </c>
    </row>
    <row r="418794" spans="1:13" x14ac:dyDescent="0.25">
      <c r="A418794" s="6">
        <v>46142</v>
      </c>
      <c r="B418794" s="11">
        <f t="shared" si="71"/>
        <v>4</v>
      </c>
      <c r="C418794" s="11">
        <f t="shared" si="72"/>
        <v>18</v>
      </c>
      <c r="D418794" s="5" t="s">
        <v>18</v>
      </c>
      <c r="E418794" s="11" t="s">
        <v>14</v>
      </c>
      <c r="F418794" s="9" t="s">
        <v>22</v>
      </c>
      <c r="G418794">
        <v>1</v>
      </c>
      <c r="J418794" s="7">
        <v>3.36</v>
      </c>
      <c r="K418794" s="11">
        <f t="shared" si="70"/>
        <v>2026</v>
      </c>
      <c r="L418794" t="s">
        <v>16</v>
      </c>
      <c r="M418794" t="s">
        <v>17</v>
      </c>
    </row>
    <row r="418795" spans="1:13" x14ac:dyDescent="0.25">
      <c r="A418795" s="6">
        <v>46138.708333333336</v>
      </c>
      <c r="B418795" s="11">
        <f t="shared" si="71"/>
        <v>4</v>
      </c>
      <c r="C418795" s="11">
        <f t="shared" si="72"/>
        <v>18</v>
      </c>
      <c r="D418795" s="5" t="s">
        <v>18</v>
      </c>
      <c r="E418795" s="11" t="s">
        <v>14</v>
      </c>
      <c r="F418795" s="9" t="s">
        <v>22</v>
      </c>
      <c r="G418795">
        <v>1</v>
      </c>
      <c r="J418795" s="7">
        <v>0.03</v>
      </c>
      <c r="K418795" s="11">
        <f t="shared" si="70"/>
        <v>2026</v>
      </c>
      <c r="L418795" t="s">
        <v>16</v>
      </c>
      <c r="M418795" t="s">
        <v>17</v>
      </c>
    </row>
    <row r="418796" spans="1:13" x14ac:dyDescent="0.25">
      <c r="A418796" s="6">
        <v>46138.708333333336</v>
      </c>
      <c r="B418796" s="11">
        <f t="shared" si="71"/>
        <v>4</v>
      </c>
      <c r="C418796" s="11">
        <f t="shared" si="72"/>
        <v>18</v>
      </c>
      <c r="D418796" s="5" t="s">
        <v>18</v>
      </c>
      <c r="E418796" s="11" t="s">
        <v>14</v>
      </c>
      <c r="F418796" s="9" t="s">
        <v>15</v>
      </c>
      <c r="G418796">
        <v>1</v>
      </c>
      <c r="J418796" s="7">
        <v>0.23</v>
      </c>
      <c r="K418796" s="11">
        <f t="shared" si="70"/>
        <v>2026</v>
      </c>
      <c r="L418796" t="s">
        <v>16</v>
      </c>
      <c r="M418796" t="s">
        <v>17</v>
      </c>
    </row>
    <row r="418797" spans="1:13" x14ac:dyDescent="0.25">
      <c r="A418797" s="6">
        <v>46138.708333333336</v>
      </c>
      <c r="B418797" s="11">
        <f t="shared" si="71"/>
        <v>4</v>
      </c>
      <c r="C418797" s="11">
        <f t="shared" si="72"/>
        <v>18</v>
      </c>
      <c r="D418797" s="5" t="s">
        <v>18</v>
      </c>
      <c r="E418797" s="11" t="s">
        <v>14</v>
      </c>
      <c r="F418797" s="9" t="s">
        <v>15</v>
      </c>
      <c r="G418797">
        <v>1</v>
      </c>
      <c r="J418797" s="7">
        <v>1.07</v>
      </c>
      <c r="K418797" s="11">
        <f t="shared" si="70"/>
        <v>2026</v>
      </c>
      <c r="L418797" t="s">
        <v>16</v>
      </c>
      <c r="M418797" t="s">
        <v>17</v>
      </c>
    </row>
    <row r="418798" spans="1:13" x14ac:dyDescent="0.25">
      <c r="A418798" s="6">
        <v>46138.708333333336</v>
      </c>
      <c r="B418798" s="11">
        <f t="shared" si="71"/>
        <v>4</v>
      </c>
      <c r="C418798" s="11">
        <f t="shared" si="72"/>
        <v>18</v>
      </c>
      <c r="D418798" s="5" t="s">
        <v>18</v>
      </c>
      <c r="E418798" s="11" t="s">
        <v>14</v>
      </c>
      <c r="F418798" s="9" t="s">
        <v>15</v>
      </c>
      <c r="G418798">
        <v>1</v>
      </c>
      <c r="J418798" s="7">
        <v>3.5419999999999998</v>
      </c>
      <c r="K418798" s="11">
        <f t="shared" si="70"/>
        <v>2026</v>
      </c>
      <c r="L418798" t="s">
        <v>16</v>
      </c>
      <c r="M418798" t="s">
        <v>17</v>
      </c>
    </row>
    <row r="418799" spans="1:13" x14ac:dyDescent="0.25">
      <c r="A418799" s="6">
        <v>46138.708333333336</v>
      </c>
      <c r="B418799" s="11">
        <f t="shared" si="71"/>
        <v>4</v>
      </c>
      <c r="C418799" s="11">
        <f t="shared" si="72"/>
        <v>18</v>
      </c>
      <c r="D418799" s="5" t="s">
        <v>18</v>
      </c>
      <c r="E418799" s="11" t="s">
        <v>14</v>
      </c>
      <c r="F418799" s="9" t="s">
        <v>15</v>
      </c>
      <c r="G418799">
        <v>1</v>
      </c>
      <c r="J418799" s="7">
        <v>4.9160000000000004</v>
      </c>
      <c r="K418799" s="11">
        <f t="shared" si="70"/>
        <v>2026</v>
      </c>
      <c r="L418799" t="s">
        <v>16</v>
      </c>
      <c r="M418799" t="s">
        <v>17</v>
      </c>
    </row>
    <row r="418800" spans="1:13" x14ac:dyDescent="0.25">
      <c r="A418800" s="6">
        <v>46138.708333333336</v>
      </c>
      <c r="B418800" s="11">
        <f t="shared" si="71"/>
        <v>4</v>
      </c>
      <c r="C418800" s="11">
        <f t="shared" si="72"/>
        <v>18</v>
      </c>
      <c r="D418800" s="5" t="s">
        <v>18</v>
      </c>
      <c r="E418800" s="11" t="s">
        <v>14</v>
      </c>
      <c r="F418800" s="9" t="s">
        <v>15</v>
      </c>
      <c r="G418800">
        <v>1</v>
      </c>
      <c r="J418800" s="7">
        <v>4.9160000000000004</v>
      </c>
      <c r="K418800" s="11">
        <f t="shared" si="70"/>
        <v>2026</v>
      </c>
      <c r="L418800" t="s">
        <v>16</v>
      </c>
      <c r="M418800" t="s">
        <v>17</v>
      </c>
    </row>
    <row r="418801" spans="1:13" x14ac:dyDescent="0.25">
      <c r="A418801" s="6">
        <v>46138.708333333336</v>
      </c>
      <c r="B418801" s="11">
        <f t="shared" si="71"/>
        <v>4</v>
      </c>
      <c r="C418801" s="11">
        <f t="shared" si="72"/>
        <v>18</v>
      </c>
      <c r="D418801" s="5" t="s">
        <v>18</v>
      </c>
      <c r="E418801" s="11" t="s">
        <v>14</v>
      </c>
      <c r="F418801" s="9" t="s">
        <v>15</v>
      </c>
      <c r="G418801">
        <v>1</v>
      </c>
      <c r="J418801" s="7">
        <v>4.6319999999999997</v>
      </c>
      <c r="K418801" s="11">
        <f t="shared" si="70"/>
        <v>2026</v>
      </c>
      <c r="L418801" t="s">
        <v>16</v>
      </c>
      <c r="M418801" t="s">
        <v>17</v>
      </c>
    </row>
    <row r="418802" spans="1:13" x14ac:dyDescent="0.25">
      <c r="A418802" s="6">
        <v>46142.291666666664</v>
      </c>
      <c r="B418802" s="11">
        <f t="shared" si="71"/>
        <v>4</v>
      </c>
      <c r="C418802" s="11">
        <f t="shared" si="72"/>
        <v>18</v>
      </c>
      <c r="D418802" s="5" t="s">
        <v>18</v>
      </c>
      <c r="E418802" s="11" t="s">
        <v>14</v>
      </c>
      <c r="F418802" s="9" t="s">
        <v>22</v>
      </c>
      <c r="G418802">
        <v>1</v>
      </c>
      <c r="J418802" s="7">
        <v>4.2519999999999998</v>
      </c>
      <c r="K418802" s="11">
        <f t="shared" si="70"/>
        <v>2026</v>
      </c>
      <c r="L418802" t="s">
        <v>16</v>
      </c>
      <c r="M418802" t="s">
        <v>17</v>
      </c>
    </row>
    <row r="418803" spans="1:13" x14ac:dyDescent="0.25">
      <c r="A418803" s="6">
        <v>46138.708333333336</v>
      </c>
      <c r="B418803" s="11">
        <f t="shared" si="71"/>
        <v>4</v>
      </c>
      <c r="C418803" s="11">
        <f t="shared" si="72"/>
        <v>18</v>
      </c>
      <c r="D418803" s="5" t="s">
        <v>18</v>
      </c>
      <c r="E418803" s="11" t="s">
        <v>14</v>
      </c>
      <c r="F418803" s="9" t="s">
        <v>15</v>
      </c>
      <c r="G418803">
        <v>1</v>
      </c>
      <c r="J418803" s="7">
        <v>2.1669999999999998</v>
      </c>
      <c r="K418803" s="11">
        <f t="shared" si="70"/>
        <v>2026</v>
      </c>
      <c r="L418803" t="s">
        <v>16</v>
      </c>
      <c r="M418803" t="s">
        <v>17</v>
      </c>
    </row>
    <row r="418804" spans="1:13" x14ac:dyDescent="0.25">
      <c r="A418804" s="6">
        <v>46143</v>
      </c>
      <c r="B418804" s="11">
        <f t="shared" si="71"/>
        <v>5</v>
      </c>
      <c r="C418804" s="11">
        <f t="shared" si="72"/>
        <v>18</v>
      </c>
      <c r="D418804" s="5" t="s">
        <v>18</v>
      </c>
      <c r="E418804" s="11" t="s">
        <v>14</v>
      </c>
      <c r="F418804" s="9" t="s">
        <v>22</v>
      </c>
      <c r="G418804">
        <v>1</v>
      </c>
      <c r="J418804" s="7">
        <v>0.18</v>
      </c>
      <c r="K418804" s="11">
        <f t="shared" si="70"/>
        <v>2026</v>
      </c>
      <c r="L418804" t="s">
        <v>16</v>
      </c>
      <c r="M418804" t="s">
        <v>17</v>
      </c>
    </row>
    <row r="418805" spans="1:13" x14ac:dyDescent="0.25">
      <c r="A418805" s="6">
        <v>46138.708333333336</v>
      </c>
      <c r="B418805" s="11">
        <f t="shared" si="71"/>
        <v>4</v>
      </c>
      <c r="C418805" s="11">
        <f t="shared" si="72"/>
        <v>18</v>
      </c>
      <c r="D418805" s="5" t="s">
        <v>18</v>
      </c>
      <c r="E418805" s="11" t="s">
        <v>14</v>
      </c>
      <c r="F418805" s="9" t="s">
        <v>15</v>
      </c>
      <c r="G418805">
        <v>1</v>
      </c>
      <c r="J418805" s="7">
        <v>0.97</v>
      </c>
      <c r="K418805" s="11">
        <f t="shared" si="70"/>
        <v>2026</v>
      </c>
      <c r="L418805" t="s">
        <v>16</v>
      </c>
      <c r="M418805" t="s">
        <v>17</v>
      </c>
    </row>
    <row r="418806" spans="1:13" x14ac:dyDescent="0.25">
      <c r="A418806" s="6">
        <v>46143</v>
      </c>
      <c r="B418806" s="11">
        <f t="shared" si="71"/>
        <v>5</v>
      </c>
      <c r="C418806" s="11">
        <f t="shared" si="72"/>
        <v>18</v>
      </c>
      <c r="D418806" s="5" t="s">
        <v>18</v>
      </c>
      <c r="E418806" s="11" t="s">
        <v>14</v>
      </c>
      <c r="F418806" s="9" t="s">
        <v>22</v>
      </c>
      <c r="G418806">
        <v>1</v>
      </c>
      <c r="J418806" s="7">
        <v>0.78200000000000003</v>
      </c>
      <c r="K418806" s="11">
        <f t="shared" si="70"/>
        <v>2026</v>
      </c>
      <c r="L418806" t="s">
        <v>16</v>
      </c>
      <c r="M418806" t="s">
        <v>17</v>
      </c>
    </row>
    <row r="418807" spans="1:13" x14ac:dyDescent="0.25">
      <c r="A418807" s="6">
        <v>46143</v>
      </c>
      <c r="B418807" s="11">
        <f t="shared" si="71"/>
        <v>5</v>
      </c>
      <c r="C418807" s="11">
        <f t="shared" si="72"/>
        <v>18</v>
      </c>
      <c r="D418807" s="5" t="s">
        <v>18</v>
      </c>
      <c r="E418807" s="11" t="s">
        <v>14</v>
      </c>
      <c r="F418807" s="9" t="s">
        <v>22</v>
      </c>
      <c r="G418807">
        <v>1</v>
      </c>
      <c r="J418807" s="7">
        <v>2.5529999999999999</v>
      </c>
      <c r="K418807" s="11">
        <f t="shared" si="70"/>
        <v>2026</v>
      </c>
      <c r="L418807" t="s">
        <v>16</v>
      </c>
      <c r="M418807" t="s">
        <v>17</v>
      </c>
    </row>
    <row r="418808" spans="1:13" x14ac:dyDescent="0.25">
      <c r="A418808" s="6">
        <v>46143</v>
      </c>
      <c r="B418808" s="11">
        <f t="shared" si="71"/>
        <v>5</v>
      </c>
      <c r="C418808" s="11">
        <f t="shared" si="72"/>
        <v>18</v>
      </c>
      <c r="D418808" s="5" t="s">
        <v>18</v>
      </c>
      <c r="E418808" s="11" t="s">
        <v>14</v>
      </c>
      <c r="F418808" s="9" t="s">
        <v>22</v>
      </c>
      <c r="G418808">
        <v>1</v>
      </c>
      <c r="J418808" s="7">
        <v>2.016</v>
      </c>
      <c r="K418808" s="11">
        <f t="shared" si="70"/>
        <v>2026</v>
      </c>
      <c r="L418808" t="s">
        <v>16</v>
      </c>
      <c r="M418808" t="s">
        <v>17</v>
      </c>
    </row>
    <row r="418809" spans="1:13" x14ac:dyDescent="0.25">
      <c r="A418809" s="6">
        <v>46142</v>
      </c>
      <c r="B418809" s="11">
        <f t="shared" si="71"/>
        <v>4</v>
      </c>
      <c r="C418809" s="11">
        <f t="shared" si="72"/>
        <v>18</v>
      </c>
      <c r="D418809" s="5" t="s">
        <v>18</v>
      </c>
      <c r="E418809" s="11" t="s">
        <v>14</v>
      </c>
      <c r="F418809" s="9" t="s">
        <v>22</v>
      </c>
      <c r="G418809">
        <v>1</v>
      </c>
      <c r="J418809" s="7">
        <v>0.63800000000000001</v>
      </c>
      <c r="K418809" s="11">
        <f t="shared" si="70"/>
        <v>2026</v>
      </c>
      <c r="L418809" t="s">
        <v>16</v>
      </c>
      <c r="M418809" t="s">
        <v>17</v>
      </c>
    </row>
    <row r="418810" spans="1:13" x14ac:dyDescent="0.25">
      <c r="A418810" s="6">
        <v>46143</v>
      </c>
      <c r="B418810" s="11">
        <f t="shared" si="71"/>
        <v>5</v>
      </c>
      <c r="C418810" s="11">
        <f t="shared" si="72"/>
        <v>18</v>
      </c>
      <c r="D418810" s="5" t="s">
        <v>18</v>
      </c>
      <c r="E418810" s="11" t="s">
        <v>14</v>
      </c>
      <c r="F418810" s="9" t="s">
        <v>22</v>
      </c>
      <c r="G418810">
        <v>1</v>
      </c>
      <c r="J418810" s="7">
        <v>2.8410000000000002</v>
      </c>
      <c r="K418810" s="11">
        <f t="shared" si="70"/>
        <v>2026</v>
      </c>
      <c r="L418810" t="s">
        <v>16</v>
      </c>
      <c r="M418810" t="s">
        <v>17</v>
      </c>
    </row>
    <row r="418811" spans="1:13" x14ac:dyDescent="0.25">
      <c r="A418811" s="6">
        <v>46140</v>
      </c>
      <c r="B418811" s="11">
        <f t="shared" ref="B418811:B418858" si="73">MONTH(A418811)</f>
        <v>4</v>
      </c>
      <c r="C418811" s="11">
        <f t="shared" ref="C418811:C418858" si="74">WEEKNUM(A418811)</f>
        <v>18</v>
      </c>
      <c r="D418811" s="5" t="s">
        <v>18</v>
      </c>
      <c r="E418811" s="11" t="s">
        <v>14</v>
      </c>
      <c r="F418811" s="9" t="s">
        <v>15</v>
      </c>
      <c r="G418811">
        <v>1</v>
      </c>
      <c r="J418811" s="7">
        <v>6.2629999999999999</v>
      </c>
      <c r="K418811" s="11">
        <f t="shared" si="70"/>
        <v>2026</v>
      </c>
      <c r="L418811" t="s">
        <v>16</v>
      </c>
      <c r="M418811" t="s">
        <v>17</v>
      </c>
    </row>
    <row r="418812" spans="1:13" x14ac:dyDescent="0.25">
      <c r="A418812" s="6">
        <v>46143</v>
      </c>
      <c r="B418812" s="11">
        <f t="shared" si="73"/>
        <v>5</v>
      </c>
      <c r="C418812" s="11">
        <f t="shared" si="74"/>
        <v>18</v>
      </c>
      <c r="D418812" s="5" t="s">
        <v>18</v>
      </c>
      <c r="E418812" s="11" t="s">
        <v>14</v>
      </c>
      <c r="F418812" s="9" t="s">
        <v>22</v>
      </c>
      <c r="G418812">
        <v>1</v>
      </c>
      <c r="J418812" s="7">
        <v>3.42</v>
      </c>
      <c r="K418812" s="11">
        <f t="shared" si="70"/>
        <v>2026</v>
      </c>
      <c r="L418812" t="s">
        <v>16</v>
      </c>
      <c r="M418812" t="s">
        <v>17</v>
      </c>
    </row>
    <row r="418813" spans="1:13" x14ac:dyDescent="0.25">
      <c r="A418813" s="6">
        <v>46143</v>
      </c>
      <c r="B418813" s="11">
        <f t="shared" si="73"/>
        <v>5</v>
      </c>
      <c r="C418813" s="11">
        <f t="shared" si="74"/>
        <v>18</v>
      </c>
      <c r="D418813" s="5" t="s">
        <v>18</v>
      </c>
      <c r="E418813" s="11" t="s">
        <v>14</v>
      </c>
      <c r="F418813" s="9" t="s">
        <v>22</v>
      </c>
      <c r="G418813">
        <v>1</v>
      </c>
      <c r="J418813" s="7">
        <v>3.42</v>
      </c>
      <c r="K418813" s="11">
        <f t="shared" si="70"/>
        <v>2026</v>
      </c>
      <c r="L418813" t="s">
        <v>16</v>
      </c>
      <c r="M418813" t="s">
        <v>17</v>
      </c>
    </row>
    <row r="418814" spans="1:13" x14ac:dyDescent="0.25">
      <c r="A418814" s="6">
        <v>46139</v>
      </c>
      <c r="B418814" s="11">
        <f t="shared" si="73"/>
        <v>4</v>
      </c>
      <c r="C418814" s="11">
        <f t="shared" si="74"/>
        <v>18</v>
      </c>
      <c r="D418814" s="5" t="s">
        <v>18</v>
      </c>
      <c r="E418814" s="11" t="s">
        <v>14</v>
      </c>
      <c r="F418814" s="9" t="s">
        <v>22</v>
      </c>
      <c r="G418814">
        <v>1</v>
      </c>
      <c r="J418814" s="7">
        <v>0.45900000000000002</v>
      </c>
      <c r="K418814" s="11">
        <f t="shared" si="70"/>
        <v>2026</v>
      </c>
      <c r="L418814" t="s">
        <v>16</v>
      </c>
      <c r="M418814" t="s">
        <v>17</v>
      </c>
    </row>
    <row r="418815" spans="1:13" x14ac:dyDescent="0.25">
      <c r="A418815" s="6">
        <v>46139</v>
      </c>
      <c r="B418815" s="11">
        <f t="shared" si="73"/>
        <v>4</v>
      </c>
      <c r="C418815" s="11">
        <f t="shared" si="74"/>
        <v>18</v>
      </c>
      <c r="D418815" s="5" t="s">
        <v>18</v>
      </c>
      <c r="E418815" s="11" t="s">
        <v>14</v>
      </c>
      <c r="F418815" s="9" t="s">
        <v>22</v>
      </c>
      <c r="G418815">
        <v>1</v>
      </c>
      <c r="J418815" s="7">
        <v>0.44400000000000001</v>
      </c>
      <c r="K418815" s="11">
        <f t="shared" si="70"/>
        <v>2026</v>
      </c>
      <c r="L418815" t="s">
        <v>16</v>
      </c>
      <c r="M418815" t="s">
        <v>17</v>
      </c>
    </row>
    <row r="418816" spans="1:13" x14ac:dyDescent="0.25">
      <c r="A418816" s="6">
        <v>46138.708333333336</v>
      </c>
      <c r="B418816" s="11">
        <f t="shared" si="73"/>
        <v>4</v>
      </c>
      <c r="C418816" s="11">
        <f t="shared" si="74"/>
        <v>18</v>
      </c>
      <c r="D418816" s="5" t="s">
        <v>18</v>
      </c>
      <c r="E418816" s="11" t="s">
        <v>14</v>
      </c>
      <c r="F418816" s="9" t="s">
        <v>15</v>
      </c>
      <c r="G418816">
        <v>1</v>
      </c>
      <c r="J418816" s="7">
        <v>0.83</v>
      </c>
      <c r="K418816" s="11">
        <f t="shared" si="70"/>
        <v>2026</v>
      </c>
      <c r="L418816" t="s">
        <v>16</v>
      </c>
      <c r="M418816" t="s">
        <v>17</v>
      </c>
    </row>
    <row r="418817" spans="1:13" x14ac:dyDescent="0.25">
      <c r="A418817" s="6">
        <v>46138.708333333336</v>
      </c>
      <c r="B418817" s="11">
        <f t="shared" si="73"/>
        <v>4</v>
      </c>
      <c r="C418817" s="11">
        <f t="shared" si="74"/>
        <v>18</v>
      </c>
      <c r="D418817" s="5" t="s">
        <v>18</v>
      </c>
      <c r="E418817" s="11" t="s">
        <v>14</v>
      </c>
      <c r="F418817" s="9" t="s">
        <v>15</v>
      </c>
      <c r="G418817">
        <v>1</v>
      </c>
      <c r="J418817" s="7">
        <v>0.22</v>
      </c>
      <c r="K418817" s="11">
        <f t="shared" si="70"/>
        <v>2026</v>
      </c>
      <c r="L418817" t="s">
        <v>16</v>
      </c>
      <c r="M418817" t="s">
        <v>17</v>
      </c>
    </row>
    <row r="418818" spans="1:13" x14ac:dyDescent="0.25">
      <c r="A418818" s="6">
        <v>46138.708333333336</v>
      </c>
      <c r="B418818" s="11">
        <f t="shared" si="73"/>
        <v>4</v>
      </c>
      <c r="C418818" s="11">
        <f t="shared" si="74"/>
        <v>18</v>
      </c>
      <c r="D418818" s="5" t="s">
        <v>18</v>
      </c>
      <c r="E418818" s="11" t="s">
        <v>14</v>
      </c>
      <c r="F418818" s="9" t="s">
        <v>15</v>
      </c>
      <c r="G418818">
        <v>1</v>
      </c>
      <c r="J418818" s="7">
        <v>0.75</v>
      </c>
      <c r="K418818" s="11">
        <f t="shared" si="70"/>
        <v>2026</v>
      </c>
      <c r="L418818" t="s">
        <v>16</v>
      </c>
      <c r="M418818" t="s">
        <v>17</v>
      </c>
    </row>
    <row r="418819" spans="1:13" x14ac:dyDescent="0.25">
      <c r="A418819" s="6">
        <v>46138.708333333336</v>
      </c>
      <c r="B418819" s="11">
        <f t="shared" si="73"/>
        <v>4</v>
      </c>
      <c r="C418819" s="11">
        <f t="shared" si="74"/>
        <v>18</v>
      </c>
      <c r="D418819" s="5" t="s">
        <v>18</v>
      </c>
      <c r="E418819" s="11" t="s">
        <v>14</v>
      </c>
      <c r="F418819" s="9" t="s">
        <v>15</v>
      </c>
      <c r="G418819">
        <v>1</v>
      </c>
      <c r="J418819" s="7">
        <v>0.99</v>
      </c>
      <c r="K418819" s="11">
        <f t="shared" si="70"/>
        <v>2026</v>
      </c>
      <c r="L418819" t="s">
        <v>16</v>
      </c>
      <c r="M418819" t="s">
        <v>17</v>
      </c>
    </row>
    <row r="418820" spans="1:13" x14ac:dyDescent="0.25">
      <c r="A418820" s="6">
        <v>46138.708333333336</v>
      </c>
      <c r="B418820" s="11">
        <f t="shared" si="73"/>
        <v>4</v>
      </c>
      <c r="C418820" s="11">
        <f t="shared" si="74"/>
        <v>18</v>
      </c>
      <c r="D418820" s="5" t="s">
        <v>18</v>
      </c>
      <c r="E418820" s="11" t="s">
        <v>14</v>
      </c>
      <c r="F418820" s="9" t="s">
        <v>15</v>
      </c>
      <c r="G418820">
        <v>1</v>
      </c>
      <c r="J418820" s="7">
        <v>0.97</v>
      </c>
      <c r="K418820" s="11">
        <f t="shared" si="70"/>
        <v>2026</v>
      </c>
      <c r="L418820" t="s">
        <v>16</v>
      </c>
      <c r="M418820" t="s">
        <v>17</v>
      </c>
    </row>
    <row r="418821" spans="1:13" x14ac:dyDescent="0.25">
      <c r="A418821" s="6">
        <v>46138.708333333336</v>
      </c>
      <c r="B418821" s="11">
        <f t="shared" si="73"/>
        <v>4</v>
      </c>
      <c r="C418821" s="11">
        <f t="shared" si="74"/>
        <v>18</v>
      </c>
      <c r="D418821" s="5" t="s">
        <v>18</v>
      </c>
      <c r="E418821" s="11" t="s">
        <v>14</v>
      </c>
      <c r="F418821" s="9" t="s">
        <v>15</v>
      </c>
      <c r="G418821">
        <v>1</v>
      </c>
      <c r="J418821" s="7">
        <v>0.54</v>
      </c>
      <c r="K418821" s="11">
        <f t="shared" si="70"/>
        <v>2026</v>
      </c>
      <c r="L418821" t="s">
        <v>16</v>
      </c>
      <c r="M418821" t="s">
        <v>17</v>
      </c>
    </row>
    <row r="418822" spans="1:13" x14ac:dyDescent="0.25">
      <c r="A418822" s="6">
        <v>46138.708333333336</v>
      </c>
      <c r="B418822" s="11">
        <f t="shared" si="73"/>
        <v>4</v>
      </c>
      <c r="C418822" s="11">
        <f t="shared" si="74"/>
        <v>18</v>
      </c>
      <c r="D418822" s="5" t="s">
        <v>18</v>
      </c>
      <c r="E418822" s="11" t="s">
        <v>14</v>
      </c>
      <c r="F418822" s="9" t="s">
        <v>15</v>
      </c>
      <c r="G418822">
        <v>1</v>
      </c>
      <c r="J418822" s="7">
        <v>2.6</v>
      </c>
      <c r="K418822" s="11">
        <f t="shared" si="70"/>
        <v>2026</v>
      </c>
      <c r="L418822" t="s">
        <v>16</v>
      </c>
      <c r="M418822" t="s">
        <v>17</v>
      </c>
    </row>
    <row r="418823" spans="1:13" x14ac:dyDescent="0.25">
      <c r="A418823" s="6">
        <v>46138.584722222222</v>
      </c>
      <c r="B418823" s="11">
        <f t="shared" si="73"/>
        <v>4</v>
      </c>
      <c r="C418823" s="11">
        <f t="shared" si="74"/>
        <v>18</v>
      </c>
      <c r="D418823" s="5" t="s">
        <v>18</v>
      </c>
      <c r="E418823" s="11" t="s">
        <v>14</v>
      </c>
      <c r="F418823" s="9" t="s">
        <v>22</v>
      </c>
      <c r="G418823">
        <v>1</v>
      </c>
      <c r="J418823" s="7">
        <v>4.1870000000000003</v>
      </c>
      <c r="K418823" s="11">
        <f t="shared" si="70"/>
        <v>2026</v>
      </c>
      <c r="L418823" t="s">
        <v>16</v>
      </c>
      <c r="M418823" t="s">
        <v>17</v>
      </c>
    </row>
    <row r="418824" spans="1:13" x14ac:dyDescent="0.25">
      <c r="A418824" s="6">
        <v>46138.708333333336</v>
      </c>
      <c r="B418824" s="11">
        <f t="shared" si="73"/>
        <v>4</v>
      </c>
      <c r="C418824" s="11">
        <f t="shared" si="74"/>
        <v>18</v>
      </c>
      <c r="D418824" s="5" t="s">
        <v>18</v>
      </c>
      <c r="E418824" s="11" t="s">
        <v>14</v>
      </c>
      <c r="F418824" s="9" t="s">
        <v>15</v>
      </c>
      <c r="G418824">
        <v>1</v>
      </c>
      <c r="J418824" s="7">
        <v>2.504</v>
      </c>
      <c r="K418824" s="11">
        <f t="shared" si="70"/>
        <v>2026</v>
      </c>
      <c r="L418824" t="s">
        <v>16</v>
      </c>
      <c r="M418824" t="s">
        <v>17</v>
      </c>
    </row>
    <row r="418825" spans="1:13" x14ac:dyDescent="0.25">
      <c r="A418825" s="6">
        <v>46140</v>
      </c>
      <c r="B418825" s="11">
        <f t="shared" si="73"/>
        <v>4</v>
      </c>
      <c r="C418825" s="11">
        <f t="shared" si="74"/>
        <v>18</v>
      </c>
      <c r="D418825" s="5" t="s">
        <v>18</v>
      </c>
      <c r="E418825" s="11" t="s">
        <v>14</v>
      </c>
      <c r="F418825" s="9" t="s">
        <v>15</v>
      </c>
      <c r="G418825">
        <v>1</v>
      </c>
      <c r="J418825" s="7">
        <v>1.7669999999999999</v>
      </c>
      <c r="K418825" s="11">
        <f t="shared" si="70"/>
        <v>2026</v>
      </c>
      <c r="L418825" t="s">
        <v>16</v>
      </c>
      <c r="M418825" t="s">
        <v>17</v>
      </c>
    </row>
    <row r="418826" spans="1:13" x14ac:dyDescent="0.25">
      <c r="A418826" s="6">
        <v>46143</v>
      </c>
      <c r="B418826" s="11">
        <f t="shared" si="73"/>
        <v>5</v>
      </c>
      <c r="C418826" s="11">
        <f t="shared" si="74"/>
        <v>18</v>
      </c>
      <c r="D418826" s="5" t="s">
        <v>18</v>
      </c>
      <c r="E418826" s="11" t="s">
        <v>14</v>
      </c>
      <c r="F418826" s="9" t="s">
        <v>22</v>
      </c>
      <c r="G418826">
        <v>1</v>
      </c>
      <c r="J418826" s="7">
        <v>4.1040000000000001</v>
      </c>
      <c r="K418826" s="11">
        <f t="shared" si="70"/>
        <v>2026</v>
      </c>
      <c r="L418826" t="s">
        <v>16</v>
      </c>
      <c r="M418826" t="s">
        <v>17</v>
      </c>
    </row>
    <row r="418827" spans="1:13" x14ac:dyDescent="0.25">
      <c r="A418827" s="6">
        <v>46138.708333333336</v>
      </c>
      <c r="B418827" s="11">
        <f t="shared" si="73"/>
        <v>4</v>
      </c>
      <c r="C418827" s="11">
        <f t="shared" si="74"/>
        <v>18</v>
      </c>
      <c r="D418827" s="5" t="s">
        <v>18</v>
      </c>
      <c r="E418827" s="11" t="s">
        <v>14</v>
      </c>
      <c r="F418827" s="9" t="s">
        <v>15</v>
      </c>
      <c r="G418827">
        <v>1</v>
      </c>
      <c r="J418827" s="7">
        <v>0.47</v>
      </c>
      <c r="K418827" s="11">
        <f t="shared" si="70"/>
        <v>2026</v>
      </c>
      <c r="L418827" t="s">
        <v>16</v>
      </c>
      <c r="M418827" t="s">
        <v>17</v>
      </c>
    </row>
    <row r="418828" spans="1:13" x14ac:dyDescent="0.25">
      <c r="A418828" s="6">
        <v>46138.708333333336</v>
      </c>
      <c r="B418828" s="11">
        <f t="shared" si="73"/>
        <v>4</v>
      </c>
      <c r="C418828" s="11">
        <f t="shared" si="74"/>
        <v>18</v>
      </c>
      <c r="D418828" s="5" t="s">
        <v>18</v>
      </c>
      <c r="E418828" s="11" t="s">
        <v>14</v>
      </c>
      <c r="F418828" s="9" t="s">
        <v>15</v>
      </c>
      <c r="G418828">
        <v>1</v>
      </c>
      <c r="J418828" s="7">
        <v>0.37</v>
      </c>
      <c r="K418828" s="11">
        <f t="shared" si="70"/>
        <v>2026</v>
      </c>
      <c r="L418828" t="s">
        <v>16</v>
      </c>
      <c r="M418828" t="s">
        <v>17</v>
      </c>
    </row>
    <row r="418829" spans="1:13" x14ac:dyDescent="0.25">
      <c r="A418829" s="6">
        <v>46140</v>
      </c>
      <c r="B418829" s="11">
        <f t="shared" si="73"/>
        <v>4</v>
      </c>
      <c r="C418829" s="11">
        <f t="shared" si="74"/>
        <v>18</v>
      </c>
      <c r="D418829" s="5" t="s">
        <v>19</v>
      </c>
      <c r="E418829" s="11" t="s">
        <v>14</v>
      </c>
      <c r="F418829" s="9" t="s">
        <v>15</v>
      </c>
      <c r="G418829">
        <v>1</v>
      </c>
      <c r="J418829" s="7">
        <v>0.78100000000000003</v>
      </c>
      <c r="K418829" s="11">
        <f t="shared" si="70"/>
        <v>2026</v>
      </c>
      <c r="L418829" t="s">
        <v>16</v>
      </c>
      <c r="M418829" t="s">
        <v>17</v>
      </c>
    </row>
    <row r="418830" spans="1:13" x14ac:dyDescent="0.25">
      <c r="A418830" s="6">
        <v>46138.708333333336</v>
      </c>
      <c r="B418830" s="11">
        <f t="shared" si="73"/>
        <v>4</v>
      </c>
      <c r="C418830" s="11">
        <f t="shared" si="74"/>
        <v>18</v>
      </c>
      <c r="D418830" s="5" t="s">
        <v>19</v>
      </c>
      <c r="E418830" s="11" t="s">
        <v>14</v>
      </c>
      <c r="F418830" s="9" t="s">
        <v>15</v>
      </c>
      <c r="G418830">
        <v>1</v>
      </c>
      <c r="J418830" s="7">
        <v>2.8919999999999999</v>
      </c>
      <c r="K418830" s="11">
        <f t="shared" si="70"/>
        <v>2026</v>
      </c>
      <c r="L418830" t="s">
        <v>16</v>
      </c>
      <c r="M418830" t="s">
        <v>17</v>
      </c>
    </row>
    <row r="418831" spans="1:13" x14ac:dyDescent="0.25">
      <c r="A418831" s="6">
        <v>46138.708333333336</v>
      </c>
      <c r="B418831" s="11">
        <f t="shared" si="73"/>
        <v>4</v>
      </c>
      <c r="C418831" s="11">
        <f t="shared" si="74"/>
        <v>18</v>
      </c>
      <c r="D418831" s="5" t="s">
        <v>19</v>
      </c>
      <c r="E418831" s="11" t="s">
        <v>14</v>
      </c>
      <c r="F418831" s="9" t="s">
        <v>15</v>
      </c>
      <c r="G418831">
        <v>1</v>
      </c>
      <c r="J418831" s="7">
        <v>0.71</v>
      </c>
      <c r="K418831" s="11">
        <f t="shared" ref="K418831:K418858" si="75">YEAR(A418831)</f>
        <v>2026</v>
      </c>
      <c r="L418831" t="s">
        <v>16</v>
      </c>
      <c r="M418831" t="s">
        <v>17</v>
      </c>
    </row>
    <row r="418832" spans="1:13" x14ac:dyDescent="0.25">
      <c r="A418832" s="6">
        <v>46142.036111111112</v>
      </c>
      <c r="B418832" s="11">
        <f t="shared" si="73"/>
        <v>4</v>
      </c>
      <c r="C418832" s="11">
        <f t="shared" si="74"/>
        <v>18</v>
      </c>
      <c r="D418832" s="5" t="s">
        <v>13</v>
      </c>
      <c r="E418832" s="11" t="s">
        <v>14</v>
      </c>
      <c r="F418832" s="9" t="s">
        <v>22</v>
      </c>
      <c r="G418832">
        <v>1</v>
      </c>
      <c r="J418832" s="7">
        <v>2.3340000000000001</v>
      </c>
      <c r="K418832" s="11">
        <f t="shared" si="75"/>
        <v>2026</v>
      </c>
      <c r="L418832" t="s">
        <v>16</v>
      </c>
      <c r="M418832" t="s">
        <v>17</v>
      </c>
    </row>
    <row r="418833" spans="1:13" x14ac:dyDescent="0.25">
      <c r="A418833" s="6">
        <v>46140.791666666664</v>
      </c>
      <c r="B418833" s="11">
        <f t="shared" si="73"/>
        <v>4</v>
      </c>
      <c r="C418833" s="11">
        <f t="shared" si="74"/>
        <v>18</v>
      </c>
      <c r="D418833" s="5" t="s">
        <v>13</v>
      </c>
      <c r="E418833" s="11" t="s">
        <v>14</v>
      </c>
      <c r="F418833" s="9" t="s">
        <v>22</v>
      </c>
      <c r="G418833">
        <v>1</v>
      </c>
      <c r="J418833" s="7">
        <v>0.66</v>
      </c>
      <c r="K418833" s="11">
        <f t="shared" si="75"/>
        <v>2026</v>
      </c>
      <c r="L418833" t="s">
        <v>16</v>
      </c>
      <c r="M418833" t="s">
        <v>17</v>
      </c>
    </row>
    <row r="418834" spans="1:13" x14ac:dyDescent="0.25">
      <c r="A418834" s="6">
        <v>46140</v>
      </c>
      <c r="B418834" s="11">
        <f t="shared" si="73"/>
        <v>4</v>
      </c>
      <c r="C418834" s="11">
        <f t="shared" si="74"/>
        <v>18</v>
      </c>
      <c r="D418834" s="5" t="s">
        <v>23</v>
      </c>
      <c r="E418834" s="11" t="s">
        <v>14</v>
      </c>
      <c r="F418834" s="9" t="s">
        <v>22</v>
      </c>
      <c r="G418834">
        <v>1</v>
      </c>
      <c r="J418834" s="7">
        <v>4.742</v>
      </c>
      <c r="K418834" s="11">
        <f t="shared" si="75"/>
        <v>2026</v>
      </c>
      <c r="L418834" t="s">
        <v>16</v>
      </c>
      <c r="M418834" t="s">
        <v>17</v>
      </c>
    </row>
    <row r="418835" spans="1:13" x14ac:dyDescent="0.25">
      <c r="A418835" s="6">
        <v>46142.416666666664</v>
      </c>
      <c r="B418835" s="11">
        <f t="shared" si="73"/>
        <v>4</v>
      </c>
      <c r="C418835" s="11">
        <f t="shared" si="74"/>
        <v>18</v>
      </c>
      <c r="D418835" s="5" t="s">
        <v>23</v>
      </c>
      <c r="E418835" s="11" t="s">
        <v>14</v>
      </c>
      <c r="F418835" s="9" t="s">
        <v>15</v>
      </c>
      <c r="G418835">
        <v>1</v>
      </c>
      <c r="J418835" s="7">
        <v>0.59499999999999997</v>
      </c>
      <c r="K418835" s="11">
        <f t="shared" si="75"/>
        <v>2026</v>
      </c>
      <c r="L418835" t="s">
        <v>16</v>
      </c>
      <c r="M418835" t="s">
        <v>17</v>
      </c>
    </row>
    <row r="418836" spans="1:13" x14ac:dyDescent="0.25">
      <c r="A418836" s="6">
        <v>46142.416666666664</v>
      </c>
      <c r="B418836" s="11">
        <f t="shared" si="73"/>
        <v>4</v>
      </c>
      <c r="C418836" s="11">
        <f t="shared" si="74"/>
        <v>18</v>
      </c>
      <c r="D418836" s="5" t="s">
        <v>23</v>
      </c>
      <c r="E418836" s="11" t="s">
        <v>14</v>
      </c>
      <c r="F418836" s="9" t="s">
        <v>15</v>
      </c>
      <c r="G418836">
        <v>1</v>
      </c>
      <c r="J418836" s="7">
        <v>6.4020000000000001</v>
      </c>
      <c r="K418836" s="11">
        <f t="shared" si="75"/>
        <v>2026</v>
      </c>
      <c r="L418836" t="s">
        <v>16</v>
      </c>
      <c r="M418836" t="s">
        <v>17</v>
      </c>
    </row>
    <row r="418837" spans="1:13" x14ac:dyDescent="0.25">
      <c r="A418837" s="6">
        <v>46140</v>
      </c>
      <c r="B418837" s="11">
        <f t="shared" si="73"/>
        <v>4</v>
      </c>
      <c r="C418837" s="11">
        <f t="shared" si="74"/>
        <v>18</v>
      </c>
      <c r="D418837" s="5" t="s">
        <v>19</v>
      </c>
      <c r="E418837" s="11" t="s">
        <v>14</v>
      </c>
      <c r="F418837" s="9" t="s">
        <v>22</v>
      </c>
      <c r="G418837">
        <v>1</v>
      </c>
      <c r="J418837" s="7">
        <v>3.7530000000000001</v>
      </c>
      <c r="K418837" s="11">
        <f t="shared" si="75"/>
        <v>2026</v>
      </c>
      <c r="L418837" t="s">
        <v>16</v>
      </c>
      <c r="M418837" t="s">
        <v>17</v>
      </c>
    </row>
    <row r="418838" spans="1:13" x14ac:dyDescent="0.25">
      <c r="A418838" s="6">
        <v>46140</v>
      </c>
      <c r="B418838" s="11">
        <f t="shared" si="73"/>
        <v>4</v>
      </c>
      <c r="C418838" s="11">
        <f t="shared" si="74"/>
        <v>18</v>
      </c>
      <c r="D418838" s="5" t="s">
        <v>23</v>
      </c>
      <c r="E418838" s="11" t="s">
        <v>14</v>
      </c>
      <c r="F418838" s="9" t="s">
        <v>22</v>
      </c>
      <c r="G418838">
        <v>1</v>
      </c>
      <c r="J418838" s="7">
        <v>0.126</v>
      </c>
      <c r="K418838" s="11">
        <f t="shared" si="75"/>
        <v>2026</v>
      </c>
      <c r="L418838" t="s">
        <v>16</v>
      </c>
      <c r="M418838" t="s">
        <v>17</v>
      </c>
    </row>
    <row r="418839" spans="1:13" x14ac:dyDescent="0.25">
      <c r="A418839" s="6">
        <v>46140</v>
      </c>
      <c r="B418839" s="11">
        <f t="shared" si="73"/>
        <v>4</v>
      </c>
      <c r="C418839" s="11">
        <f t="shared" si="74"/>
        <v>18</v>
      </c>
      <c r="D418839" s="5" t="s">
        <v>13</v>
      </c>
      <c r="E418839" s="11" t="s">
        <v>14</v>
      </c>
      <c r="F418839" s="9" t="s">
        <v>15</v>
      </c>
      <c r="G418839">
        <v>1</v>
      </c>
      <c r="J418839" s="7">
        <v>1.323</v>
      </c>
      <c r="K418839" s="11">
        <f t="shared" si="75"/>
        <v>2026</v>
      </c>
      <c r="L418839" t="s">
        <v>16</v>
      </c>
      <c r="M418839" t="s">
        <v>17</v>
      </c>
    </row>
    <row r="418840" spans="1:13" x14ac:dyDescent="0.25">
      <c r="A418840" s="6">
        <v>46140</v>
      </c>
      <c r="B418840" s="11">
        <f t="shared" si="73"/>
        <v>4</v>
      </c>
      <c r="C418840" s="11">
        <f t="shared" si="74"/>
        <v>18</v>
      </c>
      <c r="D418840" s="5" t="s">
        <v>13</v>
      </c>
      <c r="E418840" s="11" t="s">
        <v>14</v>
      </c>
      <c r="F418840" s="9" t="s">
        <v>15</v>
      </c>
      <c r="G418840">
        <v>1</v>
      </c>
      <c r="J418840" s="7">
        <v>13.632</v>
      </c>
      <c r="K418840" s="11">
        <f t="shared" si="75"/>
        <v>2026</v>
      </c>
      <c r="L418840" t="s">
        <v>16</v>
      </c>
      <c r="M418840" t="s">
        <v>17</v>
      </c>
    </row>
    <row r="418841" spans="1:13" x14ac:dyDescent="0.25">
      <c r="A418841" s="6">
        <v>46140</v>
      </c>
      <c r="B418841" s="11">
        <f t="shared" si="73"/>
        <v>4</v>
      </c>
      <c r="C418841" s="11">
        <f t="shared" si="74"/>
        <v>18</v>
      </c>
      <c r="D418841" s="5" t="s">
        <v>21</v>
      </c>
      <c r="E418841" s="11" t="s">
        <v>14</v>
      </c>
      <c r="F418841" s="9" t="s">
        <v>22</v>
      </c>
      <c r="G418841">
        <v>1</v>
      </c>
      <c r="J418841" s="7">
        <v>0.44600000000000001</v>
      </c>
      <c r="K418841" s="11">
        <f t="shared" si="75"/>
        <v>2026</v>
      </c>
      <c r="L418841" t="s">
        <v>16</v>
      </c>
      <c r="M418841" t="s">
        <v>17</v>
      </c>
    </row>
    <row r="418842" spans="1:13" x14ac:dyDescent="0.25">
      <c r="A418842" s="6">
        <v>46138.708333333336</v>
      </c>
      <c r="B418842" s="11">
        <f t="shared" si="73"/>
        <v>4</v>
      </c>
      <c r="C418842" s="11">
        <f t="shared" si="74"/>
        <v>18</v>
      </c>
      <c r="D418842" s="5" t="s">
        <v>21</v>
      </c>
      <c r="E418842" s="11" t="s">
        <v>14</v>
      </c>
      <c r="F418842" s="9" t="s">
        <v>15</v>
      </c>
      <c r="G418842">
        <v>1</v>
      </c>
      <c r="J418842" s="7">
        <v>4.24</v>
      </c>
      <c r="K418842" s="11">
        <f t="shared" si="75"/>
        <v>2026</v>
      </c>
      <c r="L418842" t="s">
        <v>16</v>
      </c>
      <c r="M418842" t="s">
        <v>17</v>
      </c>
    </row>
    <row r="418843" spans="1:13" x14ac:dyDescent="0.25">
      <c r="A418843" s="6">
        <v>46138.708333333336</v>
      </c>
      <c r="B418843" s="11">
        <f t="shared" si="73"/>
        <v>4</v>
      </c>
      <c r="C418843" s="11">
        <f t="shared" si="74"/>
        <v>18</v>
      </c>
      <c r="D418843" s="5" t="s">
        <v>21</v>
      </c>
      <c r="E418843" s="11" t="s">
        <v>14</v>
      </c>
      <c r="F418843" s="9" t="s">
        <v>15</v>
      </c>
      <c r="G418843">
        <v>1</v>
      </c>
      <c r="J418843" s="7">
        <v>11.512</v>
      </c>
      <c r="K418843" s="11">
        <f t="shared" si="75"/>
        <v>2026</v>
      </c>
      <c r="L418843" t="s">
        <v>16</v>
      </c>
      <c r="M418843" t="s">
        <v>17</v>
      </c>
    </row>
    <row r="418844" spans="1:13" x14ac:dyDescent="0.25">
      <c r="A418844" s="6">
        <v>46138.708333333336</v>
      </c>
      <c r="B418844" s="11">
        <f t="shared" si="73"/>
        <v>4</v>
      </c>
      <c r="C418844" s="11">
        <f t="shared" si="74"/>
        <v>18</v>
      </c>
      <c r="D418844" s="5" t="s">
        <v>21</v>
      </c>
      <c r="E418844" s="11" t="s">
        <v>14</v>
      </c>
      <c r="F418844" s="9" t="s">
        <v>15</v>
      </c>
      <c r="G418844">
        <v>1</v>
      </c>
      <c r="J418844" s="7">
        <v>4.7640000000000002</v>
      </c>
      <c r="K418844" s="11">
        <f t="shared" si="75"/>
        <v>2026</v>
      </c>
      <c r="L418844" t="s">
        <v>16</v>
      </c>
      <c r="M418844" t="s">
        <v>17</v>
      </c>
    </row>
    <row r="418845" spans="1:13" x14ac:dyDescent="0.25">
      <c r="A418845" s="6">
        <v>46142.166666666664</v>
      </c>
      <c r="B418845" s="11">
        <f t="shared" si="73"/>
        <v>4</v>
      </c>
      <c r="C418845" s="11">
        <f t="shared" si="74"/>
        <v>18</v>
      </c>
      <c r="D418845" s="5" t="s">
        <v>21</v>
      </c>
      <c r="E418845" s="11" t="s">
        <v>14</v>
      </c>
      <c r="F418845" s="9" t="s">
        <v>22</v>
      </c>
      <c r="G418845">
        <v>1</v>
      </c>
      <c r="J418845" s="7">
        <v>2.6240000000000001</v>
      </c>
      <c r="K418845" s="11">
        <f t="shared" si="75"/>
        <v>2026</v>
      </c>
      <c r="L418845" t="s">
        <v>16</v>
      </c>
      <c r="M418845" t="s">
        <v>17</v>
      </c>
    </row>
    <row r="418846" spans="1:13" x14ac:dyDescent="0.25">
      <c r="A418846" s="6">
        <v>46142</v>
      </c>
      <c r="B418846" s="11">
        <f t="shared" si="73"/>
        <v>4</v>
      </c>
      <c r="C418846" s="11">
        <f t="shared" si="74"/>
        <v>18</v>
      </c>
      <c r="D418846" s="5" t="s">
        <v>21</v>
      </c>
      <c r="E418846" s="11" t="s">
        <v>14</v>
      </c>
      <c r="F418846" s="9" t="s">
        <v>22</v>
      </c>
      <c r="G418846">
        <v>1</v>
      </c>
      <c r="J418846" s="7">
        <v>1.0489999999999999</v>
      </c>
      <c r="K418846" s="11">
        <f t="shared" si="75"/>
        <v>2026</v>
      </c>
      <c r="L418846" t="s">
        <v>16</v>
      </c>
      <c r="M418846" t="s">
        <v>17</v>
      </c>
    </row>
    <row r="418847" spans="1:13" x14ac:dyDescent="0.25">
      <c r="A418847" s="6">
        <v>46142.416666666664</v>
      </c>
      <c r="B418847" s="11">
        <f t="shared" si="73"/>
        <v>4</v>
      </c>
      <c r="C418847" s="11">
        <f t="shared" si="74"/>
        <v>18</v>
      </c>
      <c r="D418847" s="5" t="s">
        <v>20</v>
      </c>
      <c r="E418847" s="11" t="s">
        <v>14</v>
      </c>
      <c r="F418847" s="9" t="s">
        <v>15</v>
      </c>
      <c r="G418847">
        <v>1</v>
      </c>
      <c r="J418847" s="7">
        <v>5.74</v>
      </c>
      <c r="K418847" s="11">
        <f t="shared" si="75"/>
        <v>2026</v>
      </c>
      <c r="L418847" t="s">
        <v>16</v>
      </c>
      <c r="M418847" t="s">
        <v>17</v>
      </c>
    </row>
    <row r="418848" spans="1:13" x14ac:dyDescent="0.25">
      <c r="A418848" s="6">
        <v>46140</v>
      </c>
      <c r="B418848" s="11">
        <f t="shared" si="73"/>
        <v>4</v>
      </c>
      <c r="C418848" s="11">
        <f t="shared" si="74"/>
        <v>18</v>
      </c>
      <c r="D418848" s="5" t="s">
        <v>20</v>
      </c>
      <c r="E418848" s="11" t="s">
        <v>14</v>
      </c>
      <c r="F418848" s="9" t="s">
        <v>15</v>
      </c>
      <c r="G418848">
        <v>1</v>
      </c>
      <c r="J418848" s="7">
        <v>4.7640000000000002</v>
      </c>
      <c r="K418848" s="11">
        <f t="shared" si="75"/>
        <v>2026</v>
      </c>
      <c r="L418848" t="s">
        <v>16</v>
      </c>
      <c r="M418848" t="s">
        <v>17</v>
      </c>
    </row>
    <row r="418849" spans="1:13" x14ac:dyDescent="0.25">
      <c r="A418849" s="6">
        <v>46139</v>
      </c>
      <c r="B418849" s="11">
        <f t="shared" si="73"/>
        <v>4</v>
      </c>
      <c r="C418849" s="11">
        <f t="shared" si="74"/>
        <v>18</v>
      </c>
      <c r="D418849" s="5" t="s">
        <v>20</v>
      </c>
      <c r="E418849" s="11" t="s">
        <v>14</v>
      </c>
      <c r="F418849" s="9" t="s">
        <v>22</v>
      </c>
      <c r="G418849">
        <v>1</v>
      </c>
      <c r="J418849" s="7">
        <v>2.56</v>
      </c>
      <c r="K418849" s="11">
        <f t="shared" si="75"/>
        <v>2026</v>
      </c>
      <c r="L418849" t="s">
        <v>16</v>
      </c>
      <c r="M418849" t="s">
        <v>17</v>
      </c>
    </row>
    <row r="418850" spans="1:13" x14ac:dyDescent="0.25">
      <c r="A418850" s="6">
        <v>46140.291666666664</v>
      </c>
      <c r="B418850" s="11">
        <f t="shared" si="73"/>
        <v>4</v>
      </c>
      <c r="C418850" s="11">
        <f t="shared" si="74"/>
        <v>18</v>
      </c>
      <c r="D418850" s="5" t="s">
        <v>13</v>
      </c>
      <c r="E418850" s="11" t="s">
        <v>14</v>
      </c>
      <c r="F418850" s="9" t="s">
        <v>22</v>
      </c>
      <c r="G418850">
        <v>1</v>
      </c>
      <c r="J418850" s="7">
        <v>9.1270000000000007</v>
      </c>
      <c r="K418850" s="11">
        <f t="shared" si="75"/>
        <v>2026</v>
      </c>
      <c r="L418850" t="s">
        <v>16</v>
      </c>
      <c r="M418850" t="s">
        <v>17</v>
      </c>
    </row>
    <row r="418851" spans="1:13" x14ac:dyDescent="0.25">
      <c r="A418851" s="6">
        <v>46140.791666666664</v>
      </c>
      <c r="B418851" s="11">
        <f t="shared" si="73"/>
        <v>4</v>
      </c>
      <c r="C418851" s="11">
        <f t="shared" si="74"/>
        <v>18</v>
      </c>
      <c r="D418851" s="5" t="s">
        <v>13</v>
      </c>
      <c r="E418851" s="11" t="s">
        <v>14</v>
      </c>
      <c r="F418851" s="9" t="s">
        <v>15</v>
      </c>
      <c r="G418851">
        <v>1</v>
      </c>
      <c r="J418851" s="7">
        <v>6.68</v>
      </c>
      <c r="K418851" s="11">
        <f t="shared" si="75"/>
        <v>2026</v>
      </c>
      <c r="L418851" t="s">
        <v>16</v>
      </c>
      <c r="M418851" t="s">
        <v>17</v>
      </c>
    </row>
    <row r="418852" spans="1:13" x14ac:dyDescent="0.25">
      <c r="A418852" s="6">
        <v>46140.791666666664</v>
      </c>
      <c r="B418852" s="11">
        <f t="shared" si="73"/>
        <v>4</v>
      </c>
      <c r="C418852" s="11">
        <f t="shared" si="74"/>
        <v>18</v>
      </c>
      <c r="D418852" s="5" t="s">
        <v>13</v>
      </c>
      <c r="E418852" s="11" t="s">
        <v>14</v>
      </c>
      <c r="F418852" s="9" t="s">
        <v>15</v>
      </c>
      <c r="G418852">
        <v>1</v>
      </c>
      <c r="J418852" s="7">
        <v>1.74</v>
      </c>
      <c r="K418852" s="11">
        <f t="shared" si="75"/>
        <v>2026</v>
      </c>
      <c r="L418852" t="s">
        <v>16</v>
      </c>
      <c r="M418852" t="s">
        <v>17</v>
      </c>
    </row>
    <row r="418853" spans="1:13" x14ac:dyDescent="0.25">
      <c r="A418853" s="6">
        <v>46140</v>
      </c>
      <c r="B418853" s="11">
        <f t="shared" si="73"/>
        <v>4</v>
      </c>
      <c r="C418853" s="11">
        <f t="shared" si="74"/>
        <v>18</v>
      </c>
      <c r="D418853" s="5" t="s">
        <v>13</v>
      </c>
      <c r="E418853" s="11" t="s">
        <v>14</v>
      </c>
      <c r="F418853" s="9" t="s">
        <v>15</v>
      </c>
      <c r="G418853">
        <v>1</v>
      </c>
      <c r="J418853" s="7">
        <v>1.1519999999999999</v>
      </c>
      <c r="K418853" s="11">
        <f t="shared" si="75"/>
        <v>2026</v>
      </c>
      <c r="L418853" t="s">
        <v>16</v>
      </c>
      <c r="M418853" t="s">
        <v>17</v>
      </c>
    </row>
    <row r="418854" spans="1:13" x14ac:dyDescent="0.25">
      <c r="A418854" s="6">
        <v>46140</v>
      </c>
      <c r="B418854" s="11">
        <f t="shared" si="73"/>
        <v>4</v>
      </c>
      <c r="C418854" s="11">
        <f t="shared" si="74"/>
        <v>18</v>
      </c>
      <c r="D418854" s="5" t="s">
        <v>13</v>
      </c>
      <c r="E418854" s="11" t="s">
        <v>14</v>
      </c>
      <c r="F418854" s="9" t="s">
        <v>15</v>
      </c>
      <c r="G418854">
        <v>1</v>
      </c>
      <c r="J418854" s="7">
        <v>9.17</v>
      </c>
      <c r="K418854" s="11">
        <f t="shared" si="75"/>
        <v>2026</v>
      </c>
      <c r="L418854" t="s">
        <v>16</v>
      </c>
      <c r="M418854" t="s">
        <v>17</v>
      </c>
    </row>
    <row r="418855" spans="1:13" x14ac:dyDescent="0.25">
      <c r="A418855" s="6">
        <v>46140</v>
      </c>
      <c r="B418855" s="11">
        <f t="shared" si="73"/>
        <v>4</v>
      </c>
      <c r="C418855" s="11">
        <f t="shared" si="74"/>
        <v>18</v>
      </c>
      <c r="D418855" s="5" t="s">
        <v>13</v>
      </c>
      <c r="E418855" s="11" t="s">
        <v>14</v>
      </c>
      <c r="F418855" s="9" t="s">
        <v>15</v>
      </c>
      <c r="G418855">
        <v>1</v>
      </c>
      <c r="J418855" s="7">
        <v>1.1659999999999999</v>
      </c>
      <c r="K418855" s="11">
        <f t="shared" si="75"/>
        <v>2026</v>
      </c>
      <c r="L418855" t="s">
        <v>16</v>
      </c>
      <c r="M418855" t="s">
        <v>17</v>
      </c>
    </row>
    <row r="418856" spans="1:13" x14ac:dyDescent="0.25">
      <c r="A418856" s="6">
        <v>46140</v>
      </c>
      <c r="B418856" s="11">
        <f t="shared" si="73"/>
        <v>4</v>
      </c>
      <c r="C418856" s="11">
        <f t="shared" si="74"/>
        <v>18</v>
      </c>
      <c r="D418856" s="5" t="s">
        <v>13</v>
      </c>
      <c r="E418856" s="11" t="s">
        <v>14</v>
      </c>
      <c r="F418856" s="9" t="s">
        <v>15</v>
      </c>
      <c r="G418856">
        <v>1</v>
      </c>
      <c r="J418856" s="7">
        <v>7.2450000000000001</v>
      </c>
      <c r="K418856" s="11">
        <f t="shared" si="75"/>
        <v>2026</v>
      </c>
      <c r="L418856" t="s">
        <v>16</v>
      </c>
      <c r="M418856" t="s">
        <v>17</v>
      </c>
    </row>
    <row r="418857" spans="1:13" x14ac:dyDescent="0.25">
      <c r="A418857" s="6">
        <v>46140</v>
      </c>
      <c r="B418857" s="11">
        <f t="shared" si="73"/>
        <v>4</v>
      </c>
      <c r="C418857" s="11">
        <f t="shared" si="74"/>
        <v>18</v>
      </c>
      <c r="D418857" s="5" t="s">
        <v>13</v>
      </c>
      <c r="E418857" s="11" t="s">
        <v>14</v>
      </c>
      <c r="F418857" s="9" t="s">
        <v>15</v>
      </c>
      <c r="G418857">
        <v>1</v>
      </c>
      <c r="J418857" s="7">
        <v>11.172000000000001</v>
      </c>
      <c r="K418857" s="11">
        <f t="shared" si="75"/>
        <v>2026</v>
      </c>
      <c r="L418857" t="s">
        <v>16</v>
      </c>
      <c r="M418857" t="s">
        <v>17</v>
      </c>
    </row>
    <row r="418858" spans="1:13" x14ac:dyDescent="0.25">
      <c r="A418858" s="6">
        <v>46142.036111111112</v>
      </c>
      <c r="B418858" s="11">
        <f t="shared" si="73"/>
        <v>4</v>
      </c>
      <c r="C418858" s="11">
        <f t="shared" si="74"/>
        <v>18</v>
      </c>
      <c r="D418858" s="5" t="s">
        <v>24</v>
      </c>
      <c r="E418858" s="11" t="s">
        <v>14</v>
      </c>
      <c r="F418858" s="9" t="s">
        <v>15</v>
      </c>
      <c r="G418858">
        <v>1</v>
      </c>
      <c r="J418858" s="7">
        <v>0.70099999999999996</v>
      </c>
      <c r="K418858" s="11">
        <f t="shared" si="75"/>
        <v>2026</v>
      </c>
      <c r="L418858" t="s">
        <v>16</v>
      </c>
      <c r="M418858" t="s">
        <v>17</v>
      </c>
    </row>
    <row r="418859" spans="1:13" x14ac:dyDescent="0.25">
      <c r="A418859" s="6">
        <v>46142.291666666664</v>
      </c>
      <c r="B418859" s="11">
        <f t="shared" ref="B418859:B418911" si="76">MONTH(A418859)</f>
        <v>4</v>
      </c>
      <c r="C418859" s="11">
        <f t="shared" ref="C418859:C418911" si="77">WEEKNUM(A418859)</f>
        <v>18</v>
      </c>
      <c r="D418859" s="5" t="s">
        <v>13</v>
      </c>
      <c r="E418859" s="11" t="s">
        <v>14</v>
      </c>
      <c r="F418859" s="9" t="s">
        <v>22</v>
      </c>
      <c r="G418859">
        <v>1</v>
      </c>
      <c r="J418859" s="7">
        <v>1.27</v>
      </c>
      <c r="K418859" s="11">
        <f t="shared" ref="K418859" si="78">YEAR(A418859)</f>
        <v>2026</v>
      </c>
      <c r="L418859" t="s">
        <v>25</v>
      </c>
      <c r="M418859" t="s">
        <v>17</v>
      </c>
    </row>
    <row r="418860" spans="1:13" x14ac:dyDescent="0.25">
      <c r="A418860" s="6">
        <v>46144</v>
      </c>
      <c r="B418860" s="11">
        <f t="shared" si="76"/>
        <v>5</v>
      </c>
      <c r="C418860" s="11">
        <f t="shared" si="77"/>
        <v>18</v>
      </c>
      <c r="D418860" s="5" t="s">
        <v>21</v>
      </c>
      <c r="E418860" s="11" t="s">
        <v>14</v>
      </c>
      <c r="F418860" s="9" t="s">
        <v>22</v>
      </c>
      <c r="G418860">
        <v>1</v>
      </c>
      <c r="J418860" s="7">
        <v>4.08</v>
      </c>
      <c r="K418860" s="11">
        <f t="shared" ref="K418860:K418923" si="79">YEAR(A418860)</f>
        <v>2026</v>
      </c>
      <c r="L418860" t="s">
        <v>25</v>
      </c>
      <c r="M418860" t="s">
        <v>17</v>
      </c>
    </row>
    <row r="418861" spans="1:13" x14ac:dyDescent="0.25">
      <c r="A418861" s="6">
        <v>46142.291666666664</v>
      </c>
      <c r="B418861" s="11">
        <f t="shared" si="76"/>
        <v>4</v>
      </c>
      <c r="C418861" s="11">
        <f t="shared" si="77"/>
        <v>18</v>
      </c>
      <c r="D418861" s="5" t="s">
        <v>13</v>
      </c>
      <c r="E418861" s="11" t="s">
        <v>14</v>
      </c>
      <c r="F418861" s="9" t="s">
        <v>22</v>
      </c>
      <c r="G418861">
        <v>1</v>
      </c>
      <c r="J418861" s="7">
        <v>2.7770000000000001</v>
      </c>
      <c r="K418861" s="11">
        <f t="shared" si="79"/>
        <v>2026</v>
      </c>
      <c r="L418861" t="s">
        <v>25</v>
      </c>
      <c r="M418861" t="s">
        <v>17</v>
      </c>
    </row>
    <row r="418862" spans="1:13" x14ac:dyDescent="0.25">
      <c r="A418862" s="6">
        <v>46144.25</v>
      </c>
      <c r="B418862" s="11">
        <f t="shared" si="76"/>
        <v>5</v>
      </c>
      <c r="C418862" s="11">
        <f t="shared" si="77"/>
        <v>18</v>
      </c>
      <c r="D418862" s="5" t="s">
        <v>19</v>
      </c>
      <c r="E418862" s="11" t="s">
        <v>14</v>
      </c>
      <c r="F418862" s="9" t="s">
        <v>22</v>
      </c>
      <c r="G418862">
        <v>1</v>
      </c>
      <c r="J418862" s="7">
        <v>2.5819999999999999</v>
      </c>
      <c r="K418862" s="11">
        <f t="shared" si="79"/>
        <v>2026</v>
      </c>
      <c r="L418862" t="s">
        <v>25</v>
      </c>
      <c r="M418862" t="s">
        <v>17</v>
      </c>
    </row>
    <row r="418863" spans="1:13" x14ac:dyDescent="0.25">
      <c r="A418863" s="6">
        <v>46142.291666666664</v>
      </c>
      <c r="B418863" s="11">
        <f t="shared" si="76"/>
        <v>4</v>
      </c>
      <c r="C418863" s="11">
        <f t="shared" si="77"/>
        <v>18</v>
      </c>
      <c r="D418863" s="5" t="s">
        <v>13</v>
      </c>
      <c r="E418863" s="11" t="s">
        <v>14</v>
      </c>
      <c r="F418863" s="9" t="s">
        <v>22</v>
      </c>
      <c r="G418863">
        <v>1</v>
      </c>
      <c r="J418863" s="7">
        <v>1.1240000000000001</v>
      </c>
      <c r="K418863" s="11">
        <f t="shared" si="79"/>
        <v>2026</v>
      </c>
      <c r="L418863" t="s">
        <v>25</v>
      </c>
      <c r="M418863" t="s">
        <v>17</v>
      </c>
    </row>
    <row r="418864" spans="1:13" x14ac:dyDescent="0.25">
      <c r="A418864" s="6">
        <v>46142.291666666664</v>
      </c>
      <c r="B418864" s="11">
        <f t="shared" si="76"/>
        <v>4</v>
      </c>
      <c r="C418864" s="11">
        <f t="shared" si="77"/>
        <v>18</v>
      </c>
      <c r="D418864" s="5" t="s">
        <v>13</v>
      </c>
      <c r="E418864" s="11" t="s">
        <v>14</v>
      </c>
      <c r="F418864" s="9" t="s">
        <v>22</v>
      </c>
      <c r="G418864">
        <v>1</v>
      </c>
      <c r="J418864" s="7">
        <v>1.008</v>
      </c>
      <c r="K418864" s="11">
        <f t="shared" si="79"/>
        <v>2026</v>
      </c>
      <c r="L418864" t="s">
        <v>25</v>
      </c>
      <c r="M418864" t="s">
        <v>17</v>
      </c>
    </row>
    <row r="418865" spans="1:13" x14ac:dyDescent="0.25">
      <c r="A418865" s="6">
        <v>46139</v>
      </c>
      <c r="B418865" s="11">
        <f t="shared" si="76"/>
        <v>4</v>
      </c>
      <c r="C418865" s="11">
        <f t="shared" si="77"/>
        <v>18</v>
      </c>
      <c r="D418865" s="5" t="s">
        <v>13</v>
      </c>
      <c r="E418865" s="11" t="s">
        <v>14</v>
      </c>
      <c r="F418865" s="9" t="s">
        <v>22</v>
      </c>
      <c r="G418865">
        <v>1</v>
      </c>
      <c r="J418865" s="7">
        <v>0.77100000000000002</v>
      </c>
      <c r="K418865" s="11">
        <f t="shared" si="79"/>
        <v>2026</v>
      </c>
      <c r="L418865" t="s">
        <v>25</v>
      </c>
      <c r="M418865" t="s">
        <v>17</v>
      </c>
    </row>
    <row r="418866" spans="1:13" x14ac:dyDescent="0.25">
      <c r="A418866" s="6">
        <v>46144.625</v>
      </c>
      <c r="B418866" s="11">
        <f t="shared" si="76"/>
        <v>5</v>
      </c>
      <c r="C418866" s="11">
        <f t="shared" si="77"/>
        <v>18</v>
      </c>
      <c r="D418866" s="5" t="s">
        <v>18</v>
      </c>
      <c r="E418866" s="11" t="s">
        <v>14</v>
      </c>
      <c r="F418866" s="9" t="s">
        <v>15</v>
      </c>
      <c r="G418866">
        <v>1</v>
      </c>
      <c r="J418866" s="7">
        <v>4.2110000000000003</v>
      </c>
      <c r="K418866" s="11">
        <f t="shared" si="79"/>
        <v>2026</v>
      </c>
      <c r="L418866" t="s">
        <v>25</v>
      </c>
      <c r="M418866" t="s">
        <v>17</v>
      </c>
    </row>
    <row r="418867" spans="1:13" x14ac:dyDescent="0.25">
      <c r="A418867" s="6">
        <v>46140.916666666664</v>
      </c>
      <c r="B418867" s="11">
        <f t="shared" si="76"/>
        <v>4</v>
      </c>
      <c r="C418867" s="11">
        <f t="shared" si="77"/>
        <v>18</v>
      </c>
      <c r="D418867" s="5" t="s">
        <v>18</v>
      </c>
      <c r="E418867" s="11" t="s">
        <v>14</v>
      </c>
      <c r="F418867" s="9" t="s">
        <v>15</v>
      </c>
      <c r="G418867">
        <v>1</v>
      </c>
      <c r="J418867" s="7">
        <v>0.66400000000000003</v>
      </c>
      <c r="K418867" s="11">
        <f t="shared" si="79"/>
        <v>2026</v>
      </c>
      <c r="L418867" t="s">
        <v>25</v>
      </c>
      <c r="M418867" t="s">
        <v>17</v>
      </c>
    </row>
    <row r="418868" spans="1:13" x14ac:dyDescent="0.25">
      <c r="A418868" s="6">
        <v>46140.916666666664</v>
      </c>
      <c r="B418868" s="11">
        <f t="shared" si="76"/>
        <v>4</v>
      </c>
      <c r="C418868" s="11">
        <f t="shared" si="77"/>
        <v>18</v>
      </c>
      <c r="D418868" s="5" t="s">
        <v>18</v>
      </c>
      <c r="E418868" s="11" t="s">
        <v>14</v>
      </c>
      <c r="F418868" s="9" t="s">
        <v>15</v>
      </c>
      <c r="G418868">
        <v>1</v>
      </c>
      <c r="J418868" s="7">
        <v>7.1239999999999997</v>
      </c>
      <c r="K418868" s="11">
        <f t="shared" si="79"/>
        <v>2026</v>
      </c>
      <c r="L418868" t="s">
        <v>25</v>
      </c>
      <c r="M418868" t="s">
        <v>17</v>
      </c>
    </row>
    <row r="418869" spans="1:13" x14ac:dyDescent="0.25">
      <c r="A418869" s="6">
        <v>46140.916666666664</v>
      </c>
      <c r="B418869" s="11">
        <f t="shared" si="76"/>
        <v>4</v>
      </c>
      <c r="C418869" s="11">
        <f t="shared" si="77"/>
        <v>18</v>
      </c>
      <c r="D418869" s="5" t="s">
        <v>18</v>
      </c>
      <c r="E418869" s="11" t="s">
        <v>14</v>
      </c>
      <c r="F418869" s="9" t="s">
        <v>15</v>
      </c>
      <c r="G418869">
        <v>1</v>
      </c>
      <c r="J418869" s="7">
        <v>3.5609999999999999</v>
      </c>
      <c r="K418869" s="11">
        <f t="shared" si="79"/>
        <v>2026</v>
      </c>
      <c r="L418869" t="s">
        <v>25</v>
      </c>
      <c r="M418869" t="s">
        <v>17</v>
      </c>
    </row>
    <row r="418870" spans="1:13" x14ac:dyDescent="0.25">
      <c r="A418870" s="6">
        <v>46140.916666666664</v>
      </c>
      <c r="B418870" s="11">
        <f t="shared" si="76"/>
        <v>4</v>
      </c>
      <c r="C418870" s="11">
        <f t="shared" si="77"/>
        <v>18</v>
      </c>
      <c r="D418870" s="5" t="s">
        <v>18</v>
      </c>
      <c r="E418870" s="11" t="s">
        <v>14</v>
      </c>
      <c r="F418870" s="9" t="s">
        <v>15</v>
      </c>
      <c r="G418870">
        <v>1</v>
      </c>
      <c r="J418870" s="7">
        <v>2.819</v>
      </c>
      <c r="K418870" s="11">
        <f t="shared" si="79"/>
        <v>2026</v>
      </c>
      <c r="L418870" t="s">
        <v>25</v>
      </c>
      <c r="M418870" t="s">
        <v>17</v>
      </c>
    </row>
    <row r="418871" spans="1:13" x14ac:dyDescent="0.25">
      <c r="A418871" s="6">
        <v>46140.916666666664</v>
      </c>
      <c r="B418871" s="11">
        <f t="shared" si="76"/>
        <v>4</v>
      </c>
      <c r="C418871" s="11">
        <f t="shared" si="77"/>
        <v>18</v>
      </c>
      <c r="D418871" s="5" t="s">
        <v>18</v>
      </c>
      <c r="E418871" s="11" t="s">
        <v>14</v>
      </c>
      <c r="F418871" s="9" t="s">
        <v>15</v>
      </c>
      <c r="G418871">
        <v>1</v>
      </c>
      <c r="J418871" s="7">
        <v>0.64700000000000002</v>
      </c>
      <c r="K418871" s="11">
        <f t="shared" si="79"/>
        <v>2026</v>
      </c>
      <c r="L418871" t="s">
        <v>25</v>
      </c>
      <c r="M418871" t="s">
        <v>17</v>
      </c>
    </row>
    <row r="418872" spans="1:13" x14ac:dyDescent="0.25">
      <c r="A418872" s="6">
        <v>46140.916666666664</v>
      </c>
      <c r="B418872" s="11">
        <f t="shared" si="76"/>
        <v>4</v>
      </c>
      <c r="C418872" s="11">
        <f t="shared" si="77"/>
        <v>18</v>
      </c>
      <c r="D418872" s="5" t="s">
        <v>18</v>
      </c>
      <c r="E418872" s="11" t="s">
        <v>14</v>
      </c>
      <c r="F418872" s="9" t="s">
        <v>15</v>
      </c>
      <c r="G418872">
        <v>1</v>
      </c>
      <c r="J418872" s="7">
        <v>0.26100000000000001</v>
      </c>
      <c r="K418872" s="11">
        <f t="shared" si="79"/>
        <v>2026</v>
      </c>
      <c r="L418872" t="s">
        <v>25</v>
      </c>
      <c r="M418872" t="s">
        <v>17</v>
      </c>
    </row>
    <row r="418873" spans="1:13" x14ac:dyDescent="0.25">
      <c r="A418873" s="6">
        <v>46141</v>
      </c>
      <c r="B418873" s="11">
        <f t="shared" si="76"/>
        <v>4</v>
      </c>
      <c r="C418873" s="11">
        <f t="shared" si="77"/>
        <v>18</v>
      </c>
      <c r="D418873" s="5" t="s">
        <v>21</v>
      </c>
      <c r="E418873" s="11" t="s">
        <v>14</v>
      </c>
      <c r="F418873" s="9" t="s">
        <v>22</v>
      </c>
      <c r="G418873">
        <v>1</v>
      </c>
      <c r="J418873" s="7">
        <v>1.68</v>
      </c>
      <c r="K418873" s="11">
        <f t="shared" si="79"/>
        <v>2026</v>
      </c>
      <c r="L418873" t="s">
        <v>25</v>
      </c>
      <c r="M418873" t="s">
        <v>17</v>
      </c>
    </row>
    <row r="418874" spans="1:13" x14ac:dyDescent="0.25">
      <c r="A418874" s="6">
        <v>46143.381944444445</v>
      </c>
      <c r="B418874" s="11">
        <f t="shared" si="76"/>
        <v>5</v>
      </c>
      <c r="C418874" s="11">
        <f t="shared" si="77"/>
        <v>18</v>
      </c>
      <c r="D418874" s="5" t="s">
        <v>20</v>
      </c>
      <c r="E418874" s="11" t="s">
        <v>14</v>
      </c>
      <c r="F418874" s="9" t="s">
        <v>22</v>
      </c>
      <c r="G418874">
        <v>1</v>
      </c>
      <c r="J418874" s="7">
        <v>5.0309999999999997</v>
      </c>
      <c r="K418874" s="11">
        <f t="shared" si="79"/>
        <v>2026</v>
      </c>
      <c r="L418874" t="s">
        <v>25</v>
      </c>
      <c r="M418874" t="s">
        <v>17</v>
      </c>
    </row>
    <row r="418875" spans="1:13" x14ac:dyDescent="0.25">
      <c r="A418875" s="6">
        <v>46141</v>
      </c>
      <c r="B418875" s="11">
        <f t="shared" si="76"/>
        <v>4</v>
      </c>
      <c r="C418875" s="11">
        <f t="shared" si="77"/>
        <v>18</v>
      </c>
      <c r="D418875" s="5" t="s">
        <v>21</v>
      </c>
      <c r="E418875" s="11" t="s">
        <v>14</v>
      </c>
      <c r="F418875" s="9" t="s">
        <v>22</v>
      </c>
      <c r="G418875">
        <v>1</v>
      </c>
      <c r="J418875" s="7">
        <v>7.15</v>
      </c>
      <c r="K418875" s="11">
        <f t="shared" si="79"/>
        <v>2026</v>
      </c>
      <c r="L418875" t="s">
        <v>25</v>
      </c>
      <c r="M418875" t="s">
        <v>17</v>
      </c>
    </row>
    <row r="418876" spans="1:13" x14ac:dyDescent="0.25">
      <c r="A418876" s="6">
        <v>46139.791666666664</v>
      </c>
      <c r="B418876" s="11">
        <f t="shared" si="76"/>
        <v>4</v>
      </c>
      <c r="C418876" s="11">
        <f t="shared" si="77"/>
        <v>18</v>
      </c>
      <c r="D418876" s="5" t="s">
        <v>18</v>
      </c>
      <c r="E418876" s="11" t="s">
        <v>14</v>
      </c>
      <c r="F418876" s="9" t="s">
        <v>15</v>
      </c>
      <c r="G418876">
        <v>1</v>
      </c>
      <c r="J418876" s="7">
        <v>2.9409999999999998</v>
      </c>
      <c r="K418876" s="11">
        <f t="shared" si="79"/>
        <v>2026</v>
      </c>
      <c r="L418876" t="s">
        <v>25</v>
      </c>
      <c r="M418876" t="s">
        <v>17</v>
      </c>
    </row>
    <row r="418877" spans="1:13" x14ac:dyDescent="0.25">
      <c r="A418877" s="6">
        <v>46143.791666666664</v>
      </c>
      <c r="B418877" s="11">
        <f t="shared" si="76"/>
        <v>5</v>
      </c>
      <c r="C418877" s="11">
        <f t="shared" si="77"/>
        <v>18</v>
      </c>
      <c r="D418877" s="5" t="s">
        <v>18</v>
      </c>
      <c r="E418877" s="11" t="s">
        <v>14</v>
      </c>
      <c r="F418877" s="9" t="s">
        <v>15</v>
      </c>
      <c r="G418877">
        <v>1</v>
      </c>
      <c r="J418877" s="7">
        <v>3.048</v>
      </c>
      <c r="K418877" s="11">
        <f t="shared" si="79"/>
        <v>2026</v>
      </c>
      <c r="L418877" t="s">
        <v>25</v>
      </c>
      <c r="M418877" t="s">
        <v>17</v>
      </c>
    </row>
    <row r="418878" spans="1:13" x14ac:dyDescent="0.25">
      <c r="A418878" s="6">
        <v>46143.791666666664</v>
      </c>
      <c r="B418878" s="11">
        <f t="shared" ref="B418878:B418879" si="80">MONTH(A418878)</f>
        <v>5</v>
      </c>
      <c r="C418878" s="11">
        <f t="shared" ref="C418878:C418879" si="81">WEEKNUM(A418878)</f>
        <v>18</v>
      </c>
      <c r="D418878" s="5" t="s">
        <v>18</v>
      </c>
      <c r="E418878" s="11" t="s">
        <v>14</v>
      </c>
      <c r="F418878" s="9" t="s">
        <v>15</v>
      </c>
      <c r="G418878">
        <v>1</v>
      </c>
      <c r="J418878" s="7">
        <v>0.54</v>
      </c>
      <c r="K418878" s="11">
        <f t="shared" si="79"/>
        <v>2026</v>
      </c>
      <c r="L418878" t="s">
        <v>25</v>
      </c>
      <c r="M418878" t="s">
        <v>17</v>
      </c>
    </row>
    <row r="418879" spans="1:13" x14ac:dyDescent="0.25">
      <c r="A418879" s="6">
        <v>46139.791666666664</v>
      </c>
      <c r="B418879" s="11">
        <f t="shared" si="80"/>
        <v>4</v>
      </c>
      <c r="C418879" s="11">
        <f t="shared" si="81"/>
        <v>18</v>
      </c>
      <c r="D418879" s="5" t="s">
        <v>13</v>
      </c>
      <c r="E418879" s="11" t="s">
        <v>14</v>
      </c>
      <c r="F418879" s="9" t="s">
        <v>15</v>
      </c>
      <c r="G418879">
        <v>1</v>
      </c>
      <c r="J418879" s="7">
        <v>2.0470000000000002</v>
      </c>
      <c r="K418879" s="11">
        <f t="shared" si="79"/>
        <v>2026</v>
      </c>
      <c r="L418879" t="s">
        <v>25</v>
      </c>
      <c r="M418879" t="s">
        <v>17</v>
      </c>
    </row>
    <row r="418880" spans="1:13" x14ac:dyDescent="0.25">
      <c r="A418880" s="6">
        <v>46143</v>
      </c>
      <c r="B418880" s="11">
        <f t="shared" si="76"/>
        <v>5</v>
      </c>
      <c r="C418880" s="11">
        <f t="shared" si="77"/>
        <v>18</v>
      </c>
      <c r="D418880" s="5" t="s">
        <v>13</v>
      </c>
      <c r="E418880" s="11" t="s">
        <v>14</v>
      </c>
      <c r="F418880" s="9" t="s">
        <v>22</v>
      </c>
      <c r="G418880">
        <v>1</v>
      </c>
      <c r="J418880" s="7">
        <v>1.696</v>
      </c>
      <c r="K418880" s="11">
        <f t="shared" si="79"/>
        <v>2026</v>
      </c>
      <c r="L418880" t="s">
        <v>25</v>
      </c>
      <c r="M418880" t="s">
        <v>17</v>
      </c>
    </row>
    <row r="418881" spans="1:13" x14ac:dyDescent="0.25">
      <c r="A418881" s="6">
        <v>46140</v>
      </c>
      <c r="B418881" s="11">
        <f t="shared" si="76"/>
        <v>4</v>
      </c>
      <c r="C418881" s="11">
        <f t="shared" si="77"/>
        <v>18</v>
      </c>
      <c r="D418881" s="5" t="s">
        <v>21</v>
      </c>
      <c r="E418881" s="11" t="s">
        <v>14</v>
      </c>
      <c r="F418881" s="9" t="s">
        <v>22</v>
      </c>
      <c r="G418881">
        <v>1</v>
      </c>
      <c r="J418881" s="7">
        <v>3.3119999999999998</v>
      </c>
      <c r="K418881" s="11">
        <f t="shared" si="79"/>
        <v>2026</v>
      </c>
      <c r="L418881" t="s">
        <v>25</v>
      </c>
      <c r="M418881" t="s">
        <v>17</v>
      </c>
    </row>
    <row r="418882" spans="1:13" x14ac:dyDescent="0.25">
      <c r="A418882" s="6">
        <v>46142.291666666664</v>
      </c>
      <c r="B418882" s="11">
        <f t="shared" ref="B418882" si="82">MONTH(A418882)</f>
        <v>4</v>
      </c>
      <c r="C418882" s="11">
        <f t="shared" ref="C418882" si="83">WEEKNUM(A418882)</f>
        <v>18</v>
      </c>
      <c r="D418882" s="5" t="s">
        <v>18</v>
      </c>
      <c r="E418882" s="11" t="s">
        <v>14</v>
      </c>
      <c r="F418882" s="9" t="s">
        <v>15</v>
      </c>
      <c r="G418882">
        <v>1</v>
      </c>
      <c r="J418882" s="7">
        <v>8.3140000000000001</v>
      </c>
      <c r="K418882" s="11">
        <f t="shared" si="79"/>
        <v>2026</v>
      </c>
      <c r="L418882" t="s">
        <v>25</v>
      </c>
      <c r="M418882" t="s">
        <v>17</v>
      </c>
    </row>
    <row r="418883" spans="1:13" x14ac:dyDescent="0.25">
      <c r="A418883" s="6">
        <v>46140</v>
      </c>
      <c r="B418883" s="11">
        <f t="shared" si="76"/>
        <v>4</v>
      </c>
      <c r="C418883" s="11">
        <f t="shared" si="77"/>
        <v>18</v>
      </c>
      <c r="D418883" s="5" t="s">
        <v>21</v>
      </c>
      <c r="E418883" s="11" t="s">
        <v>14</v>
      </c>
      <c r="F418883" s="9" t="s">
        <v>22</v>
      </c>
      <c r="G418883">
        <v>1</v>
      </c>
      <c r="J418883" s="7">
        <v>0.19900000000000001</v>
      </c>
      <c r="K418883" s="11">
        <f t="shared" si="79"/>
        <v>2026</v>
      </c>
      <c r="L418883" t="s">
        <v>25</v>
      </c>
      <c r="M418883" t="s">
        <v>17</v>
      </c>
    </row>
    <row r="418884" spans="1:13" x14ac:dyDescent="0.25">
      <c r="A418884" s="6">
        <v>46142.291666666664</v>
      </c>
      <c r="B418884" s="11">
        <f t="shared" ref="B418884:B418899" si="84">MONTH(A418884)</f>
        <v>4</v>
      </c>
      <c r="C418884" s="11">
        <f t="shared" ref="C418884:C418899" si="85">WEEKNUM(A418884)</f>
        <v>18</v>
      </c>
      <c r="D418884" s="5" t="s">
        <v>18</v>
      </c>
      <c r="E418884" s="11" t="s">
        <v>14</v>
      </c>
      <c r="F418884" s="9" t="s">
        <v>15</v>
      </c>
      <c r="G418884">
        <v>1</v>
      </c>
      <c r="J418884" s="7">
        <v>8.6780000000000008</v>
      </c>
      <c r="K418884" s="11">
        <f t="shared" si="79"/>
        <v>2026</v>
      </c>
      <c r="L418884" t="s">
        <v>25</v>
      </c>
      <c r="M418884" t="s">
        <v>17</v>
      </c>
    </row>
    <row r="418885" spans="1:13" x14ac:dyDescent="0.25">
      <c r="A418885" s="6">
        <v>46142.291666666664</v>
      </c>
      <c r="B418885" s="11">
        <f t="shared" si="84"/>
        <v>4</v>
      </c>
      <c r="C418885" s="11">
        <f t="shared" si="85"/>
        <v>18</v>
      </c>
      <c r="D418885" s="5" t="s">
        <v>13</v>
      </c>
      <c r="E418885" s="11" t="s">
        <v>14</v>
      </c>
      <c r="F418885" s="9" t="s">
        <v>15</v>
      </c>
      <c r="G418885">
        <v>1</v>
      </c>
      <c r="J418885" s="7">
        <v>3.5840000000000001</v>
      </c>
      <c r="K418885" s="11">
        <f t="shared" si="79"/>
        <v>2026</v>
      </c>
      <c r="L418885" t="s">
        <v>25</v>
      </c>
      <c r="M418885" t="s">
        <v>17</v>
      </c>
    </row>
    <row r="418886" spans="1:13" x14ac:dyDescent="0.25">
      <c r="A418886" s="6">
        <v>46142.291666666664</v>
      </c>
      <c r="B418886" s="11">
        <f t="shared" si="84"/>
        <v>4</v>
      </c>
      <c r="C418886" s="11">
        <f t="shared" si="85"/>
        <v>18</v>
      </c>
      <c r="D418886" s="5" t="s">
        <v>13</v>
      </c>
      <c r="E418886" s="11" t="s">
        <v>14</v>
      </c>
      <c r="F418886" s="9" t="s">
        <v>15</v>
      </c>
      <c r="G418886">
        <v>1</v>
      </c>
      <c r="J418886" s="7">
        <v>6.1219999999999999</v>
      </c>
      <c r="K418886" s="11">
        <f t="shared" si="79"/>
        <v>2026</v>
      </c>
      <c r="L418886" t="s">
        <v>25</v>
      </c>
      <c r="M418886" t="s">
        <v>17</v>
      </c>
    </row>
    <row r="418887" spans="1:13" x14ac:dyDescent="0.25">
      <c r="A418887" s="6">
        <v>46142.291666666664</v>
      </c>
      <c r="B418887" s="11">
        <f t="shared" si="84"/>
        <v>4</v>
      </c>
      <c r="C418887" s="11">
        <f t="shared" si="85"/>
        <v>18</v>
      </c>
      <c r="D418887" s="5" t="s">
        <v>18</v>
      </c>
      <c r="E418887" s="11" t="s">
        <v>14</v>
      </c>
      <c r="F418887" s="9" t="s">
        <v>15</v>
      </c>
      <c r="G418887">
        <v>1</v>
      </c>
      <c r="J418887" s="7">
        <v>2.5760000000000001</v>
      </c>
      <c r="K418887" s="11">
        <f t="shared" si="79"/>
        <v>2026</v>
      </c>
      <c r="L418887" t="s">
        <v>25</v>
      </c>
      <c r="M418887" t="s">
        <v>17</v>
      </c>
    </row>
    <row r="418888" spans="1:13" x14ac:dyDescent="0.25">
      <c r="A418888" s="6">
        <v>46142.291666666664</v>
      </c>
      <c r="B418888" s="11">
        <f t="shared" si="84"/>
        <v>4</v>
      </c>
      <c r="C418888" s="11">
        <f t="shared" si="85"/>
        <v>18</v>
      </c>
      <c r="D418888" s="5" t="s">
        <v>13</v>
      </c>
      <c r="E418888" s="11" t="s">
        <v>14</v>
      </c>
      <c r="F418888" s="9" t="s">
        <v>15</v>
      </c>
      <c r="G418888">
        <v>1</v>
      </c>
      <c r="J418888" s="7">
        <v>5.76</v>
      </c>
      <c r="K418888" s="11">
        <f t="shared" si="79"/>
        <v>2026</v>
      </c>
      <c r="L418888" t="s">
        <v>25</v>
      </c>
      <c r="M418888" t="s">
        <v>17</v>
      </c>
    </row>
    <row r="418889" spans="1:13" x14ac:dyDescent="0.25">
      <c r="A418889" s="6">
        <v>46142.291666666664</v>
      </c>
      <c r="B418889" s="11">
        <f t="shared" si="84"/>
        <v>4</v>
      </c>
      <c r="C418889" s="11">
        <f t="shared" si="85"/>
        <v>18</v>
      </c>
      <c r="D418889" s="5" t="s">
        <v>13</v>
      </c>
      <c r="E418889" s="11" t="s">
        <v>14</v>
      </c>
      <c r="F418889" s="9" t="s">
        <v>15</v>
      </c>
      <c r="G418889">
        <v>1</v>
      </c>
      <c r="J418889" s="7">
        <v>5.04</v>
      </c>
      <c r="K418889" s="11">
        <f t="shared" si="79"/>
        <v>2026</v>
      </c>
      <c r="L418889" t="s">
        <v>25</v>
      </c>
      <c r="M418889" t="s">
        <v>17</v>
      </c>
    </row>
    <row r="418890" spans="1:13" x14ac:dyDescent="0.25">
      <c r="A418890" s="6">
        <v>46142.291666666664</v>
      </c>
      <c r="B418890" s="11">
        <f t="shared" si="84"/>
        <v>4</v>
      </c>
      <c r="C418890" s="11">
        <f t="shared" si="85"/>
        <v>18</v>
      </c>
      <c r="D418890" s="5" t="s">
        <v>13</v>
      </c>
      <c r="E418890" s="11" t="s">
        <v>14</v>
      </c>
      <c r="F418890" s="9" t="s">
        <v>15</v>
      </c>
      <c r="G418890">
        <v>1</v>
      </c>
      <c r="J418890" s="7">
        <v>1.7270000000000001</v>
      </c>
      <c r="K418890" s="11">
        <f t="shared" si="79"/>
        <v>2026</v>
      </c>
      <c r="L418890" t="s">
        <v>25</v>
      </c>
      <c r="M418890" t="s">
        <v>17</v>
      </c>
    </row>
    <row r="418891" spans="1:13" x14ac:dyDescent="0.25">
      <c r="A418891" s="6">
        <v>46142.291666666664</v>
      </c>
      <c r="B418891" s="11">
        <f t="shared" si="84"/>
        <v>4</v>
      </c>
      <c r="C418891" s="11">
        <f t="shared" si="85"/>
        <v>18</v>
      </c>
      <c r="D418891" s="5" t="s">
        <v>13</v>
      </c>
      <c r="E418891" s="11" t="s">
        <v>14</v>
      </c>
      <c r="F418891" s="9" t="s">
        <v>15</v>
      </c>
      <c r="G418891">
        <v>1</v>
      </c>
      <c r="J418891" s="7">
        <v>5.7619999999999996</v>
      </c>
      <c r="K418891" s="11">
        <f t="shared" si="79"/>
        <v>2026</v>
      </c>
      <c r="L418891" t="s">
        <v>25</v>
      </c>
      <c r="M418891" t="s">
        <v>17</v>
      </c>
    </row>
    <row r="418892" spans="1:13" x14ac:dyDescent="0.25">
      <c r="A418892" s="6">
        <v>46142.291666666664</v>
      </c>
      <c r="B418892" s="11">
        <f t="shared" si="84"/>
        <v>4</v>
      </c>
      <c r="C418892" s="11">
        <f t="shared" si="85"/>
        <v>18</v>
      </c>
      <c r="D418892" s="5" t="s">
        <v>13</v>
      </c>
      <c r="E418892" s="11" t="s">
        <v>14</v>
      </c>
      <c r="F418892" s="9" t="s">
        <v>15</v>
      </c>
      <c r="G418892">
        <v>1</v>
      </c>
      <c r="J418892" s="7">
        <v>4.6020000000000003</v>
      </c>
      <c r="K418892" s="11">
        <f t="shared" si="79"/>
        <v>2026</v>
      </c>
      <c r="L418892" t="s">
        <v>25</v>
      </c>
      <c r="M418892" t="s">
        <v>17</v>
      </c>
    </row>
    <row r="418893" spans="1:13" x14ac:dyDescent="0.25">
      <c r="A418893" s="6">
        <v>46142.291666666664</v>
      </c>
      <c r="B418893" s="11">
        <f t="shared" si="84"/>
        <v>4</v>
      </c>
      <c r="C418893" s="11">
        <f t="shared" si="85"/>
        <v>18</v>
      </c>
      <c r="D418893" s="5" t="s">
        <v>13</v>
      </c>
      <c r="E418893" s="11" t="s">
        <v>14</v>
      </c>
      <c r="F418893" s="9" t="s">
        <v>15</v>
      </c>
      <c r="G418893">
        <v>1</v>
      </c>
      <c r="J418893" s="7">
        <v>2.8530000000000002</v>
      </c>
      <c r="K418893" s="11">
        <f t="shared" si="79"/>
        <v>2026</v>
      </c>
      <c r="L418893" t="s">
        <v>25</v>
      </c>
      <c r="M418893" t="s">
        <v>17</v>
      </c>
    </row>
    <row r="418894" spans="1:13" x14ac:dyDescent="0.25">
      <c r="A418894" s="6">
        <v>46142.291666666664</v>
      </c>
      <c r="B418894" s="11">
        <f t="shared" si="84"/>
        <v>4</v>
      </c>
      <c r="C418894" s="11">
        <f t="shared" si="85"/>
        <v>18</v>
      </c>
      <c r="D418894" s="5" t="s">
        <v>13</v>
      </c>
      <c r="E418894" s="11" t="s">
        <v>14</v>
      </c>
      <c r="F418894" s="9" t="s">
        <v>15</v>
      </c>
      <c r="G418894">
        <v>1</v>
      </c>
      <c r="J418894" s="7">
        <v>1.506</v>
      </c>
      <c r="K418894" s="11">
        <f t="shared" si="79"/>
        <v>2026</v>
      </c>
      <c r="L418894" t="s">
        <v>25</v>
      </c>
      <c r="M418894" t="s">
        <v>17</v>
      </c>
    </row>
    <row r="418895" spans="1:13" x14ac:dyDescent="0.25">
      <c r="A418895" s="6">
        <v>46142.291666666664</v>
      </c>
      <c r="B418895" s="11">
        <f t="shared" si="84"/>
        <v>4</v>
      </c>
      <c r="C418895" s="11">
        <f t="shared" si="85"/>
        <v>18</v>
      </c>
      <c r="D418895" s="5" t="s">
        <v>18</v>
      </c>
      <c r="E418895" s="11" t="s">
        <v>14</v>
      </c>
      <c r="F418895" s="9" t="s">
        <v>15</v>
      </c>
      <c r="G418895">
        <v>1</v>
      </c>
      <c r="J418895" s="7">
        <v>1.008</v>
      </c>
      <c r="K418895" s="11">
        <f t="shared" si="79"/>
        <v>2026</v>
      </c>
      <c r="L418895" t="s">
        <v>25</v>
      </c>
      <c r="M418895" t="s">
        <v>17</v>
      </c>
    </row>
    <row r="418896" spans="1:13" x14ac:dyDescent="0.25">
      <c r="A418896" s="6">
        <v>46142.291666666664</v>
      </c>
      <c r="B418896" s="11">
        <f t="shared" si="84"/>
        <v>4</v>
      </c>
      <c r="C418896" s="11">
        <f t="shared" si="85"/>
        <v>18</v>
      </c>
      <c r="D418896" s="5" t="s">
        <v>13</v>
      </c>
      <c r="E418896" s="11" t="s">
        <v>14</v>
      </c>
      <c r="F418896" s="9" t="s">
        <v>15</v>
      </c>
      <c r="G418896">
        <v>1</v>
      </c>
      <c r="J418896" s="7">
        <v>2.1419999999999999</v>
      </c>
      <c r="K418896" s="11">
        <f t="shared" si="79"/>
        <v>2026</v>
      </c>
      <c r="L418896" t="s">
        <v>25</v>
      </c>
      <c r="M418896" t="s">
        <v>17</v>
      </c>
    </row>
    <row r="418897" spans="1:13" x14ac:dyDescent="0.25">
      <c r="A418897" s="6">
        <v>46142.291666666664</v>
      </c>
      <c r="B418897" s="11">
        <f t="shared" si="84"/>
        <v>4</v>
      </c>
      <c r="C418897" s="11">
        <f t="shared" si="85"/>
        <v>18</v>
      </c>
      <c r="D418897" s="5" t="s">
        <v>13</v>
      </c>
      <c r="E418897" s="11" t="s">
        <v>14</v>
      </c>
      <c r="F418897" s="9" t="s">
        <v>15</v>
      </c>
      <c r="G418897">
        <v>1</v>
      </c>
      <c r="J418897" s="7">
        <v>1.4419999999999999</v>
      </c>
      <c r="K418897" s="11">
        <f t="shared" si="79"/>
        <v>2026</v>
      </c>
      <c r="L418897" t="s">
        <v>25</v>
      </c>
      <c r="M418897" t="s">
        <v>17</v>
      </c>
    </row>
    <row r="418898" spans="1:13" x14ac:dyDescent="0.25">
      <c r="A418898" s="6">
        <v>46142.291666666664</v>
      </c>
      <c r="B418898" s="11">
        <f t="shared" si="84"/>
        <v>4</v>
      </c>
      <c r="C418898" s="11">
        <f t="shared" si="85"/>
        <v>18</v>
      </c>
      <c r="D418898" s="5" t="s">
        <v>13</v>
      </c>
      <c r="E418898" s="11" t="s">
        <v>14</v>
      </c>
      <c r="F418898" s="9" t="s">
        <v>15</v>
      </c>
      <c r="G418898">
        <v>1</v>
      </c>
      <c r="J418898" s="7">
        <v>1.321</v>
      </c>
      <c r="K418898" s="11">
        <f t="shared" si="79"/>
        <v>2026</v>
      </c>
      <c r="L418898" t="s">
        <v>25</v>
      </c>
      <c r="M418898" t="s">
        <v>17</v>
      </c>
    </row>
    <row r="418899" spans="1:13" x14ac:dyDescent="0.25">
      <c r="A418899" s="6">
        <v>46142.291666666664</v>
      </c>
      <c r="B418899" s="11">
        <f t="shared" si="84"/>
        <v>4</v>
      </c>
      <c r="C418899" s="11">
        <f t="shared" si="85"/>
        <v>18</v>
      </c>
      <c r="D418899" s="5" t="s">
        <v>13</v>
      </c>
      <c r="E418899" s="11" t="s">
        <v>14</v>
      </c>
      <c r="F418899" s="9" t="s">
        <v>15</v>
      </c>
      <c r="G418899">
        <v>1</v>
      </c>
      <c r="J418899" s="7">
        <v>3.7719999999999998</v>
      </c>
      <c r="K418899" s="11">
        <f t="shared" si="79"/>
        <v>2026</v>
      </c>
      <c r="L418899" t="s">
        <v>25</v>
      </c>
      <c r="M418899" t="s">
        <v>17</v>
      </c>
    </row>
    <row r="418900" spans="1:13" x14ac:dyDescent="0.25">
      <c r="A418900" s="6">
        <v>46142</v>
      </c>
      <c r="B418900" s="11">
        <f t="shared" si="76"/>
        <v>4</v>
      </c>
      <c r="C418900" s="11">
        <f t="shared" si="77"/>
        <v>18</v>
      </c>
      <c r="D418900" s="5" t="s">
        <v>21</v>
      </c>
      <c r="E418900" s="11" t="s">
        <v>14</v>
      </c>
      <c r="F418900" s="9" t="s">
        <v>22</v>
      </c>
      <c r="G418900">
        <v>1</v>
      </c>
      <c r="J418900" s="7">
        <v>1.921</v>
      </c>
      <c r="K418900" s="11">
        <f t="shared" si="79"/>
        <v>2026</v>
      </c>
      <c r="L418900" t="s">
        <v>25</v>
      </c>
      <c r="M418900" t="s">
        <v>17</v>
      </c>
    </row>
    <row r="418901" spans="1:13" x14ac:dyDescent="0.25">
      <c r="A418901" s="6">
        <v>46142.291666666664</v>
      </c>
      <c r="B418901" s="11">
        <f t="shared" ref="B418901:B418903" si="86">MONTH(A418901)</f>
        <v>4</v>
      </c>
      <c r="C418901" s="11">
        <f t="shared" ref="C418901:C418903" si="87">WEEKNUM(A418901)</f>
        <v>18</v>
      </c>
      <c r="D418901" s="5" t="s">
        <v>13</v>
      </c>
      <c r="E418901" s="11" t="s">
        <v>14</v>
      </c>
      <c r="F418901" s="9" t="s">
        <v>15</v>
      </c>
      <c r="G418901">
        <v>1</v>
      </c>
      <c r="J418901" s="7">
        <v>1.4370000000000001</v>
      </c>
      <c r="K418901" s="11">
        <f t="shared" si="79"/>
        <v>2026</v>
      </c>
      <c r="L418901" t="s">
        <v>25</v>
      </c>
      <c r="M418901" t="s">
        <v>17</v>
      </c>
    </row>
    <row r="418902" spans="1:13" x14ac:dyDescent="0.25">
      <c r="A418902" s="6">
        <v>46142.291666666664</v>
      </c>
      <c r="B418902" s="11">
        <f t="shared" si="86"/>
        <v>4</v>
      </c>
      <c r="C418902" s="11">
        <f t="shared" si="87"/>
        <v>18</v>
      </c>
      <c r="D418902" s="5" t="s">
        <v>13</v>
      </c>
      <c r="E418902" s="11" t="s">
        <v>14</v>
      </c>
      <c r="F418902" s="9" t="s">
        <v>15</v>
      </c>
      <c r="G418902">
        <v>1</v>
      </c>
      <c r="J418902" s="7">
        <v>2.1160000000000001</v>
      </c>
      <c r="K418902" s="11">
        <f t="shared" si="79"/>
        <v>2026</v>
      </c>
      <c r="L418902" t="s">
        <v>25</v>
      </c>
      <c r="M418902" t="s">
        <v>17</v>
      </c>
    </row>
    <row r="418903" spans="1:13" x14ac:dyDescent="0.25">
      <c r="A418903" s="6">
        <v>46142.291666666664</v>
      </c>
      <c r="B418903" s="11">
        <f t="shared" si="86"/>
        <v>4</v>
      </c>
      <c r="C418903" s="11">
        <f t="shared" si="87"/>
        <v>18</v>
      </c>
      <c r="D418903" s="5" t="s">
        <v>18</v>
      </c>
      <c r="E418903" s="11" t="s">
        <v>14</v>
      </c>
      <c r="F418903" s="9" t="s">
        <v>15</v>
      </c>
      <c r="G418903">
        <v>1</v>
      </c>
      <c r="J418903" s="7">
        <v>3.8519999999999999</v>
      </c>
      <c r="K418903" s="11">
        <f t="shared" si="79"/>
        <v>2026</v>
      </c>
      <c r="L418903" t="s">
        <v>25</v>
      </c>
      <c r="M418903" t="s">
        <v>17</v>
      </c>
    </row>
    <row r="418904" spans="1:13" x14ac:dyDescent="0.25">
      <c r="A418904" s="6">
        <v>46143</v>
      </c>
      <c r="B418904" s="11">
        <f t="shared" si="76"/>
        <v>5</v>
      </c>
      <c r="C418904" s="11">
        <f t="shared" si="77"/>
        <v>18</v>
      </c>
      <c r="D418904" s="5" t="s">
        <v>20</v>
      </c>
      <c r="E418904" s="11" t="s">
        <v>14</v>
      </c>
      <c r="F418904" s="9" t="s">
        <v>22</v>
      </c>
      <c r="G418904">
        <v>1</v>
      </c>
      <c r="J418904" s="7">
        <v>16.727</v>
      </c>
      <c r="K418904" s="11">
        <f t="shared" si="79"/>
        <v>2026</v>
      </c>
      <c r="L418904" t="s">
        <v>25</v>
      </c>
      <c r="M418904" t="s">
        <v>17</v>
      </c>
    </row>
    <row r="418905" spans="1:13" x14ac:dyDescent="0.25">
      <c r="A418905" s="6">
        <v>46142.291666666664</v>
      </c>
      <c r="B418905" s="11">
        <f t="shared" ref="B418905:B418907" si="88">MONTH(A418905)</f>
        <v>4</v>
      </c>
      <c r="C418905" s="11">
        <f t="shared" ref="C418905:C418907" si="89">WEEKNUM(A418905)</f>
        <v>18</v>
      </c>
      <c r="D418905" s="5" t="s">
        <v>13</v>
      </c>
      <c r="E418905" s="11" t="s">
        <v>14</v>
      </c>
      <c r="F418905" s="9" t="s">
        <v>15</v>
      </c>
      <c r="G418905">
        <v>1</v>
      </c>
      <c r="J418905" s="7">
        <v>4.2930000000000001</v>
      </c>
      <c r="K418905" s="11">
        <f t="shared" si="79"/>
        <v>2026</v>
      </c>
      <c r="L418905" t="s">
        <v>25</v>
      </c>
      <c r="M418905" t="s">
        <v>17</v>
      </c>
    </row>
    <row r="418906" spans="1:13" x14ac:dyDescent="0.25">
      <c r="A418906" s="6">
        <v>46142.291666666664</v>
      </c>
      <c r="B418906" s="11">
        <f t="shared" si="88"/>
        <v>4</v>
      </c>
      <c r="C418906" s="11">
        <f t="shared" si="89"/>
        <v>18</v>
      </c>
      <c r="D418906" s="5" t="s">
        <v>13</v>
      </c>
      <c r="E418906" s="11" t="s">
        <v>14</v>
      </c>
      <c r="F418906" s="9" t="s">
        <v>15</v>
      </c>
      <c r="G418906">
        <v>1</v>
      </c>
      <c r="J418906" s="7">
        <v>9.2579999999999991</v>
      </c>
      <c r="K418906" s="11">
        <f t="shared" si="79"/>
        <v>2026</v>
      </c>
      <c r="L418906" t="s">
        <v>25</v>
      </c>
      <c r="M418906" t="s">
        <v>17</v>
      </c>
    </row>
    <row r="418907" spans="1:13" x14ac:dyDescent="0.25">
      <c r="A418907" s="6">
        <v>46142.291666666664</v>
      </c>
      <c r="B418907" s="11">
        <f t="shared" si="88"/>
        <v>4</v>
      </c>
      <c r="C418907" s="11">
        <f t="shared" si="89"/>
        <v>18</v>
      </c>
      <c r="D418907" s="5" t="s">
        <v>13</v>
      </c>
      <c r="E418907" s="11" t="s">
        <v>14</v>
      </c>
      <c r="F418907" s="9" t="s">
        <v>15</v>
      </c>
      <c r="G418907">
        <v>1</v>
      </c>
      <c r="J418907" s="7">
        <v>1.071</v>
      </c>
      <c r="K418907" s="11">
        <f t="shared" si="79"/>
        <v>2026</v>
      </c>
      <c r="L418907" t="s">
        <v>25</v>
      </c>
      <c r="M418907" t="s">
        <v>17</v>
      </c>
    </row>
    <row r="418908" spans="1:13" x14ac:dyDescent="0.25">
      <c r="A418908" s="6">
        <v>46142</v>
      </c>
      <c r="B418908" s="11">
        <f t="shared" si="76"/>
        <v>4</v>
      </c>
      <c r="C418908" s="11">
        <f t="shared" si="77"/>
        <v>18</v>
      </c>
      <c r="D418908" s="5" t="s">
        <v>21</v>
      </c>
      <c r="E418908" s="11" t="s">
        <v>14</v>
      </c>
      <c r="F418908" s="9" t="s">
        <v>22</v>
      </c>
      <c r="G418908">
        <v>1</v>
      </c>
      <c r="J418908" s="7">
        <v>6.1459999999999999</v>
      </c>
      <c r="K418908" s="11">
        <f t="shared" si="79"/>
        <v>2026</v>
      </c>
      <c r="L418908" t="s">
        <v>25</v>
      </c>
      <c r="M418908" t="s">
        <v>17</v>
      </c>
    </row>
    <row r="418909" spans="1:13" x14ac:dyDescent="0.25">
      <c r="A418909" s="6">
        <v>46142.291666666664</v>
      </c>
      <c r="B418909" s="11">
        <f t="shared" ref="B418909:B418910" si="90">MONTH(A418909)</f>
        <v>4</v>
      </c>
      <c r="C418909" s="11">
        <f t="shared" ref="C418909:C418910" si="91">WEEKNUM(A418909)</f>
        <v>18</v>
      </c>
      <c r="D418909" s="5" t="s">
        <v>18</v>
      </c>
      <c r="E418909" s="11" t="s">
        <v>14</v>
      </c>
      <c r="F418909" s="9" t="s">
        <v>15</v>
      </c>
      <c r="G418909">
        <v>1</v>
      </c>
      <c r="J418909" s="7">
        <v>1.2529999999999999</v>
      </c>
      <c r="K418909" s="11">
        <f t="shared" si="79"/>
        <v>2026</v>
      </c>
      <c r="L418909" t="s">
        <v>25</v>
      </c>
      <c r="M418909" t="s">
        <v>17</v>
      </c>
    </row>
    <row r="418910" spans="1:13" x14ac:dyDescent="0.25">
      <c r="A418910" s="6">
        <v>46142.291666666664</v>
      </c>
      <c r="B418910" s="11">
        <f t="shared" si="90"/>
        <v>4</v>
      </c>
      <c r="C418910" s="11">
        <f t="shared" si="91"/>
        <v>18</v>
      </c>
      <c r="D418910" s="5" t="s">
        <v>18</v>
      </c>
      <c r="E418910" s="11" t="s">
        <v>14</v>
      </c>
      <c r="F418910" s="9" t="s">
        <v>15</v>
      </c>
      <c r="G418910">
        <v>1</v>
      </c>
      <c r="J418910" s="7">
        <v>1.0229999999999999</v>
      </c>
      <c r="K418910" s="11">
        <f t="shared" si="79"/>
        <v>2026</v>
      </c>
      <c r="L418910" t="s">
        <v>25</v>
      </c>
      <c r="M418910" t="s">
        <v>17</v>
      </c>
    </row>
    <row r="418911" spans="1:13" x14ac:dyDescent="0.25">
      <c r="A418911" s="6">
        <v>46144.381944444445</v>
      </c>
      <c r="B418911" s="11">
        <f t="shared" si="76"/>
        <v>5</v>
      </c>
      <c r="C418911" s="11">
        <f t="shared" si="77"/>
        <v>18</v>
      </c>
      <c r="D418911" s="5" t="s">
        <v>20</v>
      </c>
      <c r="E418911" s="11" t="s">
        <v>14</v>
      </c>
      <c r="F418911" s="9" t="s">
        <v>22</v>
      </c>
      <c r="G418911">
        <v>1</v>
      </c>
      <c r="J418911" s="7">
        <v>1.5740000000000001</v>
      </c>
      <c r="K418911" s="11">
        <f t="shared" si="79"/>
        <v>2026</v>
      </c>
      <c r="L418911" t="s">
        <v>25</v>
      </c>
      <c r="M418911" t="s">
        <v>17</v>
      </c>
    </row>
    <row r="418912" spans="1:13" x14ac:dyDescent="0.25">
      <c r="A418912" s="6">
        <v>46142.291666666664</v>
      </c>
      <c r="B418912" s="11">
        <f t="shared" ref="B418912:B418924" si="92">MONTH(A418912)</f>
        <v>4</v>
      </c>
      <c r="C418912" s="11">
        <f t="shared" ref="C418912:C418924" si="93">WEEKNUM(A418912)</f>
        <v>18</v>
      </c>
      <c r="D418912" s="5" t="s">
        <v>13</v>
      </c>
      <c r="E418912" s="11" t="s">
        <v>14</v>
      </c>
      <c r="F418912" s="9" t="s">
        <v>15</v>
      </c>
      <c r="G418912">
        <v>1</v>
      </c>
      <c r="J418912" s="7">
        <v>1.274</v>
      </c>
      <c r="K418912" s="11">
        <f t="shared" si="79"/>
        <v>2026</v>
      </c>
      <c r="L418912" t="s">
        <v>25</v>
      </c>
      <c r="M418912" t="s">
        <v>17</v>
      </c>
    </row>
    <row r="418913" spans="1:13" x14ac:dyDescent="0.25">
      <c r="A418913" s="6">
        <v>46142.291666666664</v>
      </c>
      <c r="B418913" s="11">
        <f t="shared" si="92"/>
        <v>4</v>
      </c>
      <c r="C418913" s="11">
        <f t="shared" si="93"/>
        <v>18</v>
      </c>
      <c r="D418913" s="5" t="s">
        <v>13</v>
      </c>
      <c r="E418913" s="11" t="s">
        <v>14</v>
      </c>
      <c r="F418913" s="9" t="s">
        <v>15</v>
      </c>
      <c r="G418913">
        <v>1</v>
      </c>
      <c r="J418913" s="7">
        <v>1.4419999999999999</v>
      </c>
      <c r="K418913" s="11">
        <f t="shared" si="79"/>
        <v>2026</v>
      </c>
      <c r="L418913" t="s">
        <v>25</v>
      </c>
      <c r="M418913" t="s">
        <v>17</v>
      </c>
    </row>
    <row r="418914" spans="1:13" x14ac:dyDescent="0.25">
      <c r="A418914" s="6">
        <v>46142.291666666664</v>
      </c>
      <c r="B418914" s="11">
        <f t="shared" si="92"/>
        <v>4</v>
      </c>
      <c r="C418914" s="11">
        <f t="shared" si="93"/>
        <v>18</v>
      </c>
      <c r="D418914" s="5" t="s">
        <v>13</v>
      </c>
      <c r="E418914" s="11" t="s">
        <v>14</v>
      </c>
      <c r="F418914" s="9" t="s">
        <v>15</v>
      </c>
      <c r="G418914">
        <v>1</v>
      </c>
      <c r="J418914" s="7">
        <v>12.506</v>
      </c>
      <c r="K418914" s="11">
        <f t="shared" si="79"/>
        <v>2026</v>
      </c>
      <c r="L418914" t="s">
        <v>25</v>
      </c>
      <c r="M418914" t="s">
        <v>17</v>
      </c>
    </row>
    <row r="418915" spans="1:13" x14ac:dyDescent="0.25">
      <c r="A418915" s="6">
        <v>46142.291666666664</v>
      </c>
      <c r="B418915" s="11">
        <f t="shared" si="92"/>
        <v>4</v>
      </c>
      <c r="C418915" s="11">
        <f t="shared" si="93"/>
        <v>18</v>
      </c>
      <c r="D418915" s="5" t="s">
        <v>13</v>
      </c>
      <c r="E418915" s="11" t="s">
        <v>14</v>
      </c>
      <c r="F418915" s="9" t="s">
        <v>15</v>
      </c>
      <c r="G418915">
        <v>1</v>
      </c>
      <c r="J418915" s="7">
        <v>5.8010000000000002</v>
      </c>
      <c r="K418915" s="11">
        <f t="shared" si="79"/>
        <v>2026</v>
      </c>
      <c r="L418915" t="s">
        <v>25</v>
      </c>
      <c r="M418915" t="s">
        <v>17</v>
      </c>
    </row>
    <row r="418916" spans="1:13" x14ac:dyDescent="0.25">
      <c r="A418916" s="6">
        <v>46142.291666666664</v>
      </c>
      <c r="B418916" s="11">
        <f t="shared" si="92"/>
        <v>4</v>
      </c>
      <c r="C418916" s="11">
        <f t="shared" si="93"/>
        <v>18</v>
      </c>
      <c r="D418916" s="5" t="s">
        <v>18</v>
      </c>
      <c r="E418916" s="11" t="s">
        <v>14</v>
      </c>
      <c r="F418916" s="9" t="s">
        <v>15</v>
      </c>
      <c r="G418916">
        <v>1</v>
      </c>
      <c r="J418916" s="7">
        <v>3.9319999999999999</v>
      </c>
      <c r="K418916" s="11">
        <f t="shared" si="79"/>
        <v>2026</v>
      </c>
      <c r="L418916" t="s">
        <v>25</v>
      </c>
      <c r="M418916" t="s">
        <v>17</v>
      </c>
    </row>
    <row r="418917" spans="1:13" x14ac:dyDescent="0.25">
      <c r="A418917" s="6">
        <v>46142.291666666664</v>
      </c>
      <c r="B418917" s="11">
        <f t="shared" si="92"/>
        <v>4</v>
      </c>
      <c r="C418917" s="11">
        <f t="shared" si="93"/>
        <v>18</v>
      </c>
      <c r="D418917" s="5" t="s">
        <v>18</v>
      </c>
      <c r="E418917" s="11" t="s">
        <v>14</v>
      </c>
      <c r="F418917" s="9" t="s">
        <v>15</v>
      </c>
      <c r="G418917">
        <v>1</v>
      </c>
      <c r="J418917" s="7">
        <v>11.747</v>
      </c>
      <c r="K418917" s="11">
        <f t="shared" si="79"/>
        <v>2026</v>
      </c>
      <c r="L418917" t="s">
        <v>25</v>
      </c>
      <c r="M418917" t="s">
        <v>17</v>
      </c>
    </row>
    <row r="418918" spans="1:13" x14ac:dyDescent="0.25">
      <c r="A418918" s="6">
        <v>46142.291666666664</v>
      </c>
      <c r="B418918" s="11">
        <f t="shared" si="92"/>
        <v>4</v>
      </c>
      <c r="C418918" s="11">
        <f t="shared" si="93"/>
        <v>18</v>
      </c>
      <c r="D418918" s="5" t="s">
        <v>18</v>
      </c>
      <c r="E418918" s="11" t="s">
        <v>14</v>
      </c>
      <c r="F418918" s="9" t="s">
        <v>15</v>
      </c>
      <c r="G418918">
        <v>1</v>
      </c>
      <c r="J418918" s="7">
        <v>0.52800000000000002</v>
      </c>
      <c r="K418918" s="11">
        <f t="shared" si="79"/>
        <v>2026</v>
      </c>
      <c r="L418918" t="s">
        <v>25</v>
      </c>
      <c r="M418918" t="s">
        <v>17</v>
      </c>
    </row>
    <row r="418919" spans="1:13" x14ac:dyDescent="0.25">
      <c r="A418919" s="6">
        <v>46142.291666666664</v>
      </c>
      <c r="B418919" s="11">
        <f t="shared" si="92"/>
        <v>4</v>
      </c>
      <c r="C418919" s="11">
        <f t="shared" si="93"/>
        <v>18</v>
      </c>
      <c r="D418919" s="5" t="s">
        <v>18</v>
      </c>
      <c r="E418919" s="11" t="s">
        <v>14</v>
      </c>
      <c r="F418919" s="9" t="s">
        <v>15</v>
      </c>
      <c r="G418919">
        <v>1</v>
      </c>
      <c r="J418919" s="7">
        <v>1.7549999999999999</v>
      </c>
      <c r="K418919" s="11">
        <f t="shared" si="79"/>
        <v>2026</v>
      </c>
      <c r="L418919" t="s">
        <v>25</v>
      </c>
      <c r="M418919" t="s">
        <v>17</v>
      </c>
    </row>
    <row r="418920" spans="1:13" x14ac:dyDescent="0.25">
      <c r="A418920" s="6">
        <v>46142.291666666664</v>
      </c>
      <c r="B418920" s="11">
        <f t="shared" si="92"/>
        <v>4</v>
      </c>
      <c r="C418920" s="11">
        <f t="shared" si="93"/>
        <v>18</v>
      </c>
      <c r="D418920" s="5" t="s">
        <v>18</v>
      </c>
      <c r="E418920" s="11" t="s">
        <v>14</v>
      </c>
      <c r="F418920" s="9" t="s">
        <v>15</v>
      </c>
      <c r="G418920">
        <v>1</v>
      </c>
      <c r="J418920" s="7">
        <v>3.8879999999999999</v>
      </c>
      <c r="K418920" s="11">
        <f t="shared" si="79"/>
        <v>2026</v>
      </c>
      <c r="L418920" t="s">
        <v>25</v>
      </c>
      <c r="M418920" t="s">
        <v>17</v>
      </c>
    </row>
    <row r="418921" spans="1:13" x14ac:dyDescent="0.25">
      <c r="A418921" s="6">
        <v>46142.291666666664</v>
      </c>
      <c r="B418921" s="11">
        <f t="shared" si="92"/>
        <v>4</v>
      </c>
      <c r="C418921" s="11">
        <f t="shared" si="93"/>
        <v>18</v>
      </c>
      <c r="D418921" s="5" t="s">
        <v>21</v>
      </c>
      <c r="E418921" s="11" t="s">
        <v>14</v>
      </c>
      <c r="F418921" s="9" t="s">
        <v>15</v>
      </c>
      <c r="G418921">
        <v>1</v>
      </c>
      <c r="J418921" s="7">
        <v>4.5679999999999996</v>
      </c>
      <c r="K418921" s="11">
        <f t="shared" si="79"/>
        <v>2026</v>
      </c>
      <c r="L418921" t="s">
        <v>25</v>
      </c>
      <c r="M418921" t="s">
        <v>17</v>
      </c>
    </row>
    <row r="418922" spans="1:13" x14ac:dyDescent="0.25">
      <c r="A418922" s="6">
        <v>46142.291666666664</v>
      </c>
      <c r="B418922" s="11">
        <f t="shared" si="92"/>
        <v>4</v>
      </c>
      <c r="C418922" s="11">
        <f t="shared" si="93"/>
        <v>18</v>
      </c>
      <c r="D418922" s="5" t="s">
        <v>13</v>
      </c>
      <c r="E418922" s="11" t="s">
        <v>14</v>
      </c>
      <c r="F418922" s="9" t="s">
        <v>15</v>
      </c>
      <c r="G418922">
        <v>1</v>
      </c>
      <c r="J418922" s="7">
        <v>1.643</v>
      </c>
      <c r="K418922" s="11">
        <f t="shared" si="79"/>
        <v>2026</v>
      </c>
      <c r="L418922" t="s">
        <v>25</v>
      </c>
      <c r="M418922" t="s">
        <v>17</v>
      </c>
    </row>
    <row r="418923" spans="1:13" x14ac:dyDescent="0.25">
      <c r="A418923" s="6">
        <v>46142.291666666664</v>
      </c>
      <c r="B418923" s="11">
        <f t="shared" si="92"/>
        <v>4</v>
      </c>
      <c r="C418923" s="11">
        <f t="shared" si="93"/>
        <v>18</v>
      </c>
      <c r="D418923" s="5" t="s">
        <v>13</v>
      </c>
      <c r="E418923" s="11" t="s">
        <v>14</v>
      </c>
      <c r="F418923" s="9" t="s">
        <v>15</v>
      </c>
      <c r="G418923">
        <v>1</v>
      </c>
      <c r="J418923" s="7">
        <v>1.157</v>
      </c>
      <c r="K418923" s="11">
        <f t="shared" si="79"/>
        <v>2026</v>
      </c>
      <c r="L418923" t="s">
        <v>25</v>
      </c>
      <c r="M418923" t="s">
        <v>17</v>
      </c>
    </row>
    <row r="418924" spans="1:13" x14ac:dyDescent="0.25">
      <c r="A418924" s="6">
        <v>46142.291666666664</v>
      </c>
      <c r="B418924" s="11">
        <f t="shared" si="92"/>
        <v>4</v>
      </c>
      <c r="C418924" s="11">
        <f t="shared" si="93"/>
        <v>18</v>
      </c>
      <c r="D418924" s="5" t="s">
        <v>18</v>
      </c>
      <c r="E418924" s="11" t="s">
        <v>14</v>
      </c>
      <c r="F418924" s="9" t="s">
        <v>15</v>
      </c>
      <c r="G418924">
        <v>1</v>
      </c>
      <c r="J418924" s="7">
        <v>1.075</v>
      </c>
      <c r="K418924" s="11">
        <f t="shared" ref="K418924:K418987" si="94">YEAR(A418924)</f>
        <v>2026</v>
      </c>
      <c r="L418924" t="s">
        <v>25</v>
      </c>
      <c r="M418924" t="s">
        <v>17</v>
      </c>
    </row>
    <row r="418925" spans="1:13" x14ac:dyDescent="0.25">
      <c r="A418925" s="6">
        <v>46142</v>
      </c>
      <c r="B418925" s="11">
        <f t="shared" ref="B418925:B418986" si="95">MONTH(A418925)</f>
        <v>4</v>
      </c>
      <c r="C418925" s="11">
        <f t="shared" ref="C418925:C418986" si="96">WEEKNUM(A418925)</f>
        <v>18</v>
      </c>
      <c r="D418925" s="5" t="s">
        <v>21</v>
      </c>
      <c r="E418925" s="11" t="s">
        <v>14</v>
      </c>
      <c r="F418925" s="9" t="s">
        <v>22</v>
      </c>
      <c r="G418925">
        <v>1</v>
      </c>
      <c r="J418925" s="7">
        <v>2.8660000000000001</v>
      </c>
      <c r="K418925" s="11">
        <f t="shared" si="94"/>
        <v>2026</v>
      </c>
      <c r="L418925" t="s">
        <v>25</v>
      </c>
      <c r="M418925" t="s">
        <v>17</v>
      </c>
    </row>
    <row r="418926" spans="1:13" x14ac:dyDescent="0.25">
      <c r="A418926" s="6">
        <v>46142.291666666664</v>
      </c>
      <c r="B418926" s="11">
        <f t="shared" si="95"/>
        <v>4</v>
      </c>
      <c r="C418926" s="11">
        <f t="shared" si="96"/>
        <v>18</v>
      </c>
      <c r="D418926" s="5" t="s">
        <v>18</v>
      </c>
      <c r="E418926" s="11" t="s">
        <v>14</v>
      </c>
      <c r="F418926" s="9" t="s">
        <v>15</v>
      </c>
      <c r="G418926">
        <v>1</v>
      </c>
      <c r="J418926" s="7">
        <v>13.688000000000001</v>
      </c>
      <c r="K418926" s="11">
        <f t="shared" si="94"/>
        <v>2026</v>
      </c>
      <c r="L418926" t="s">
        <v>25</v>
      </c>
      <c r="M418926" t="s">
        <v>17</v>
      </c>
    </row>
    <row r="418927" spans="1:13" x14ac:dyDescent="0.25">
      <c r="A418927" s="6">
        <v>46142.291666666664</v>
      </c>
      <c r="B418927" s="11">
        <f t="shared" si="95"/>
        <v>4</v>
      </c>
      <c r="C418927" s="11">
        <f t="shared" si="96"/>
        <v>18</v>
      </c>
      <c r="D418927" s="5" t="s">
        <v>13</v>
      </c>
      <c r="E418927" s="11" t="s">
        <v>14</v>
      </c>
      <c r="F418927" s="9" t="s">
        <v>15</v>
      </c>
      <c r="G418927">
        <v>1</v>
      </c>
      <c r="J418927" s="7">
        <v>1.2549999999999999</v>
      </c>
      <c r="K418927" s="11">
        <f t="shared" si="94"/>
        <v>2026</v>
      </c>
      <c r="L418927" t="s">
        <v>25</v>
      </c>
      <c r="M418927" t="s">
        <v>17</v>
      </c>
    </row>
    <row r="418928" spans="1:13" x14ac:dyDescent="0.25">
      <c r="A418928" s="6">
        <v>46142.291666666664</v>
      </c>
      <c r="B418928" s="11">
        <f t="shared" si="95"/>
        <v>4</v>
      </c>
      <c r="C418928" s="11">
        <f t="shared" si="96"/>
        <v>18</v>
      </c>
      <c r="D418928" s="5" t="s">
        <v>13</v>
      </c>
      <c r="E418928" s="11" t="s">
        <v>14</v>
      </c>
      <c r="F418928" s="9" t="s">
        <v>15</v>
      </c>
      <c r="G418928">
        <v>1</v>
      </c>
      <c r="J418928" s="7">
        <v>11.192</v>
      </c>
      <c r="K418928" s="11">
        <f t="shared" si="94"/>
        <v>2026</v>
      </c>
      <c r="L418928" t="s">
        <v>25</v>
      </c>
      <c r="M418928" t="s">
        <v>17</v>
      </c>
    </row>
    <row r="418929" spans="1:13" x14ac:dyDescent="0.25">
      <c r="A418929" s="6">
        <v>46142.291666666664</v>
      </c>
      <c r="B418929" s="11">
        <f t="shared" si="95"/>
        <v>4</v>
      </c>
      <c r="C418929" s="11">
        <f t="shared" si="96"/>
        <v>18</v>
      </c>
      <c r="D418929" s="5" t="s">
        <v>18</v>
      </c>
      <c r="E418929" s="11" t="s">
        <v>14</v>
      </c>
      <c r="F418929" s="9" t="s">
        <v>15</v>
      </c>
      <c r="G418929">
        <v>1</v>
      </c>
      <c r="J418929" s="7">
        <v>0.998</v>
      </c>
      <c r="K418929" s="11">
        <f t="shared" si="94"/>
        <v>2026</v>
      </c>
      <c r="L418929" t="s">
        <v>25</v>
      </c>
      <c r="M418929" t="s">
        <v>17</v>
      </c>
    </row>
    <row r="418930" spans="1:13" x14ac:dyDescent="0.25">
      <c r="A418930" s="6">
        <v>46142</v>
      </c>
      <c r="B418930" s="11">
        <f t="shared" si="95"/>
        <v>4</v>
      </c>
      <c r="C418930" s="11">
        <f t="shared" si="96"/>
        <v>18</v>
      </c>
      <c r="D418930" s="5" t="s">
        <v>19</v>
      </c>
      <c r="E418930" s="11" t="s">
        <v>14</v>
      </c>
      <c r="F418930" s="9" t="s">
        <v>22</v>
      </c>
      <c r="G418930">
        <v>1</v>
      </c>
      <c r="J418930" s="7">
        <v>2.4590000000000001</v>
      </c>
      <c r="K418930" s="11">
        <f t="shared" si="94"/>
        <v>2026</v>
      </c>
      <c r="L418930" t="s">
        <v>25</v>
      </c>
      <c r="M418930" t="s">
        <v>17</v>
      </c>
    </row>
    <row r="418931" spans="1:13" x14ac:dyDescent="0.25">
      <c r="A418931" s="6">
        <v>46142.291666666664</v>
      </c>
      <c r="B418931" s="11">
        <f t="shared" si="95"/>
        <v>4</v>
      </c>
      <c r="C418931" s="11">
        <f t="shared" si="96"/>
        <v>18</v>
      </c>
      <c r="D418931" s="5" t="s">
        <v>18</v>
      </c>
      <c r="E418931" s="11" t="s">
        <v>14</v>
      </c>
      <c r="F418931" s="9" t="s">
        <v>15</v>
      </c>
      <c r="G418931">
        <v>1</v>
      </c>
      <c r="J418931" s="7">
        <v>0.55200000000000005</v>
      </c>
      <c r="K418931" s="11">
        <f t="shared" si="94"/>
        <v>2026</v>
      </c>
      <c r="L418931" t="s">
        <v>25</v>
      </c>
      <c r="M418931" t="s">
        <v>17</v>
      </c>
    </row>
    <row r="418932" spans="1:13" x14ac:dyDescent="0.25">
      <c r="A418932" s="6">
        <v>46139</v>
      </c>
      <c r="B418932" s="11">
        <f t="shared" si="95"/>
        <v>4</v>
      </c>
      <c r="C418932" s="11">
        <f t="shared" si="96"/>
        <v>18</v>
      </c>
      <c r="D418932" s="5" t="s">
        <v>23</v>
      </c>
      <c r="E418932" s="11" t="s">
        <v>14</v>
      </c>
      <c r="F418932" s="9" t="s">
        <v>22</v>
      </c>
      <c r="G418932">
        <v>1</v>
      </c>
      <c r="J418932" s="7">
        <v>0.79800000000000004</v>
      </c>
      <c r="K418932" s="11">
        <f t="shared" si="94"/>
        <v>2026</v>
      </c>
      <c r="L418932" t="s">
        <v>25</v>
      </c>
      <c r="M418932" t="s">
        <v>17</v>
      </c>
    </row>
    <row r="418933" spans="1:13" x14ac:dyDescent="0.25">
      <c r="A418933" s="6">
        <v>46139.625</v>
      </c>
      <c r="B418933" s="11">
        <f t="shared" si="95"/>
        <v>4</v>
      </c>
      <c r="C418933" s="11">
        <f t="shared" si="96"/>
        <v>18</v>
      </c>
      <c r="D418933" s="5" t="s">
        <v>19</v>
      </c>
      <c r="E418933" s="11" t="s">
        <v>14</v>
      </c>
      <c r="F418933" s="9" t="s">
        <v>22</v>
      </c>
      <c r="G418933">
        <v>1</v>
      </c>
      <c r="J418933" s="7">
        <v>16.364999999999998</v>
      </c>
      <c r="K418933" s="11">
        <f t="shared" si="94"/>
        <v>2026</v>
      </c>
      <c r="L418933" t="s">
        <v>25</v>
      </c>
      <c r="M418933" t="s">
        <v>17</v>
      </c>
    </row>
    <row r="418934" spans="1:13" x14ac:dyDescent="0.25">
      <c r="A418934" s="6">
        <v>46142.291666666664</v>
      </c>
      <c r="B418934" s="11">
        <f t="shared" si="95"/>
        <v>4</v>
      </c>
      <c r="C418934" s="11">
        <f t="shared" si="96"/>
        <v>18</v>
      </c>
      <c r="D418934" s="5" t="s">
        <v>18</v>
      </c>
      <c r="E418934" s="11" t="s">
        <v>14</v>
      </c>
      <c r="F418934" s="9" t="s">
        <v>15</v>
      </c>
      <c r="G418934">
        <v>1</v>
      </c>
      <c r="J418934" s="7">
        <v>1.038</v>
      </c>
      <c r="K418934" s="11">
        <f t="shared" si="94"/>
        <v>2026</v>
      </c>
      <c r="L418934" t="s">
        <v>25</v>
      </c>
      <c r="M418934" t="s">
        <v>17</v>
      </c>
    </row>
    <row r="418935" spans="1:13" x14ac:dyDescent="0.25">
      <c r="A418935" s="6">
        <v>46141</v>
      </c>
      <c r="B418935" s="11">
        <f t="shared" si="95"/>
        <v>4</v>
      </c>
      <c r="C418935" s="11">
        <f t="shared" si="96"/>
        <v>18</v>
      </c>
      <c r="D418935" s="5" t="s">
        <v>18</v>
      </c>
      <c r="E418935" s="11" t="s">
        <v>14</v>
      </c>
      <c r="F418935" s="9" t="s">
        <v>15</v>
      </c>
      <c r="G418935">
        <v>1</v>
      </c>
      <c r="J418935" s="7">
        <v>0.08</v>
      </c>
      <c r="K418935" s="11">
        <f t="shared" si="94"/>
        <v>2026</v>
      </c>
      <c r="L418935" t="s">
        <v>25</v>
      </c>
      <c r="M418935" t="s">
        <v>17</v>
      </c>
    </row>
    <row r="418936" spans="1:13" x14ac:dyDescent="0.25">
      <c r="A418936" s="6">
        <v>46141</v>
      </c>
      <c r="B418936" s="11">
        <f t="shared" si="95"/>
        <v>4</v>
      </c>
      <c r="C418936" s="11">
        <f t="shared" si="96"/>
        <v>18</v>
      </c>
      <c r="D418936" s="5" t="s">
        <v>18</v>
      </c>
      <c r="E418936" s="11" t="s">
        <v>14</v>
      </c>
      <c r="F418936" s="9" t="s">
        <v>15</v>
      </c>
      <c r="G418936">
        <v>1</v>
      </c>
      <c r="J418936" s="7">
        <v>3.3000000000000002E-2</v>
      </c>
      <c r="K418936" s="11">
        <f t="shared" si="94"/>
        <v>2026</v>
      </c>
      <c r="L418936" t="s">
        <v>25</v>
      </c>
      <c r="M418936" t="s">
        <v>17</v>
      </c>
    </row>
    <row r="418937" spans="1:13" x14ac:dyDescent="0.25">
      <c r="A418937" s="6">
        <v>46141</v>
      </c>
      <c r="B418937" s="11">
        <f t="shared" si="95"/>
        <v>4</v>
      </c>
      <c r="C418937" s="11">
        <f t="shared" si="96"/>
        <v>18</v>
      </c>
      <c r="D418937" s="5" t="s">
        <v>18</v>
      </c>
      <c r="E418937" s="11" t="s">
        <v>14</v>
      </c>
      <c r="F418937" s="9" t="s">
        <v>15</v>
      </c>
      <c r="G418937">
        <v>1</v>
      </c>
      <c r="J418937" s="7">
        <v>8.3000000000000004E-2</v>
      </c>
      <c r="K418937" s="11">
        <f t="shared" si="94"/>
        <v>2026</v>
      </c>
      <c r="L418937" t="s">
        <v>25</v>
      </c>
      <c r="M418937" t="s">
        <v>17</v>
      </c>
    </row>
    <row r="418938" spans="1:13" x14ac:dyDescent="0.25">
      <c r="A418938" s="6">
        <v>46141</v>
      </c>
      <c r="B418938" s="11">
        <f t="shared" si="95"/>
        <v>4</v>
      </c>
      <c r="C418938" s="11">
        <f t="shared" si="96"/>
        <v>18</v>
      </c>
      <c r="D418938" s="5" t="s">
        <v>18</v>
      </c>
      <c r="E418938" s="11" t="s">
        <v>14</v>
      </c>
      <c r="F418938" s="9" t="s">
        <v>15</v>
      </c>
      <c r="G418938">
        <v>1</v>
      </c>
      <c r="J418938" s="7">
        <v>0.47799999999999998</v>
      </c>
      <c r="K418938" s="11">
        <f t="shared" si="94"/>
        <v>2026</v>
      </c>
      <c r="L418938" t="s">
        <v>25</v>
      </c>
      <c r="M418938" t="s">
        <v>17</v>
      </c>
    </row>
    <row r="418939" spans="1:13" x14ac:dyDescent="0.25">
      <c r="A418939" s="6">
        <v>46141</v>
      </c>
      <c r="B418939" s="11">
        <f t="shared" si="95"/>
        <v>4</v>
      </c>
      <c r="C418939" s="11">
        <f t="shared" si="96"/>
        <v>18</v>
      </c>
      <c r="D418939" s="5" t="s">
        <v>18</v>
      </c>
      <c r="E418939" s="11" t="s">
        <v>14</v>
      </c>
      <c r="F418939" s="9" t="s">
        <v>15</v>
      </c>
      <c r="G418939">
        <v>1</v>
      </c>
      <c r="J418939" s="7">
        <v>0.40300000000000002</v>
      </c>
      <c r="K418939" s="11">
        <f t="shared" si="94"/>
        <v>2026</v>
      </c>
      <c r="L418939" t="s">
        <v>25</v>
      </c>
      <c r="M418939" t="s">
        <v>17</v>
      </c>
    </row>
    <row r="418940" spans="1:13" x14ac:dyDescent="0.25">
      <c r="A418940" s="6">
        <v>46141</v>
      </c>
      <c r="B418940" s="11">
        <f t="shared" si="95"/>
        <v>4</v>
      </c>
      <c r="C418940" s="11">
        <f t="shared" si="96"/>
        <v>18</v>
      </c>
      <c r="D418940" s="5" t="s">
        <v>18</v>
      </c>
      <c r="E418940" s="11" t="s">
        <v>14</v>
      </c>
      <c r="F418940" s="9" t="s">
        <v>15</v>
      </c>
      <c r="G418940">
        <v>1</v>
      </c>
      <c r="J418940" s="7">
        <v>0.85699999999999998</v>
      </c>
      <c r="K418940" s="11">
        <f t="shared" si="94"/>
        <v>2026</v>
      </c>
      <c r="L418940" t="s">
        <v>25</v>
      </c>
      <c r="M418940" t="s">
        <v>17</v>
      </c>
    </row>
    <row r="418941" spans="1:13" x14ac:dyDescent="0.25">
      <c r="A418941" s="6">
        <v>46141</v>
      </c>
      <c r="B418941" s="11">
        <f t="shared" si="95"/>
        <v>4</v>
      </c>
      <c r="C418941" s="11">
        <f t="shared" si="96"/>
        <v>18</v>
      </c>
      <c r="D418941" s="5" t="s">
        <v>18</v>
      </c>
      <c r="E418941" s="11" t="s">
        <v>14</v>
      </c>
      <c r="F418941" s="9" t="s">
        <v>15</v>
      </c>
      <c r="G418941">
        <v>1</v>
      </c>
      <c r="J418941" s="7">
        <v>3.02</v>
      </c>
      <c r="K418941" s="11">
        <f t="shared" si="94"/>
        <v>2026</v>
      </c>
      <c r="L418941" t="s">
        <v>25</v>
      </c>
      <c r="M418941" t="s">
        <v>17</v>
      </c>
    </row>
    <row r="418942" spans="1:13" x14ac:dyDescent="0.25">
      <c r="A418942" s="6">
        <v>46141</v>
      </c>
      <c r="B418942" s="11">
        <f t="shared" si="95"/>
        <v>4</v>
      </c>
      <c r="C418942" s="11">
        <f t="shared" si="96"/>
        <v>18</v>
      </c>
      <c r="D418942" s="5" t="s">
        <v>18</v>
      </c>
      <c r="E418942" s="11" t="s">
        <v>14</v>
      </c>
      <c r="F418942" s="9" t="s">
        <v>15</v>
      </c>
      <c r="G418942">
        <v>1</v>
      </c>
      <c r="J418942" s="7">
        <v>0.98599999999999999</v>
      </c>
      <c r="K418942" s="11">
        <f t="shared" si="94"/>
        <v>2026</v>
      </c>
      <c r="L418942" t="s">
        <v>25</v>
      </c>
      <c r="M418942" t="s">
        <v>17</v>
      </c>
    </row>
    <row r="418943" spans="1:13" x14ac:dyDescent="0.25">
      <c r="A418943" s="6">
        <v>46141</v>
      </c>
      <c r="B418943" s="11">
        <f t="shared" si="95"/>
        <v>4</v>
      </c>
      <c r="C418943" s="11">
        <f t="shared" si="96"/>
        <v>18</v>
      </c>
      <c r="D418943" s="5" t="s">
        <v>18</v>
      </c>
      <c r="E418943" s="11" t="s">
        <v>14</v>
      </c>
      <c r="F418943" s="9" t="s">
        <v>15</v>
      </c>
      <c r="G418943">
        <v>1</v>
      </c>
      <c r="J418943" s="7">
        <v>0.60899999999999999</v>
      </c>
      <c r="K418943" s="11">
        <f t="shared" si="94"/>
        <v>2026</v>
      </c>
      <c r="L418943" t="s">
        <v>25</v>
      </c>
      <c r="M418943" t="s">
        <v>17</v>
      </c>
    </row>
    <row r="418944" spans="1:13" x14ac:dyDescent="0.25">
      <c r="A418944" s="6">
        <v>46141</v>
      </c>
      <c r="B418944" s="11">
        <f t="shared" si="95"/>
        <v>4</v>
      </c>
      <c r="C418944" s="11">
        <f t="shared" si="96"/>
        <v>18</v>
      </c>
      <c r="D418944" s="5" t="s">
        <v>18</v>
      </c>
      <c r="E418944" s="11" t="s">
        <v>14</v>
      </c>
      <c r="F418944" s="9" t="s">
        <v>15</v>
      </c>
      <c r="G418944">
        <v>1</v>
      </c>
      <c r="J418944" s="7">
        <v>1.294</v>
      </c>
      <c r="K418944" s="11">
        <f t="shared" si="94"/>
        <v>2026</v>
      </c>
      <c r="L418944" t="s">
        <v>25</v>
      </c>
      <c r="M418944" t="s">
        <v>17</v>
      </c>
    </row>
    <row r="418945" spans="1:13" x14ac:dyDescent="0.25">
      <c r="A418945" s="6">
        <v>46141</v>
      </c>
      <c r="B418945" s="11">
        <f t="shared" si="95"/>
        <v>4</v>
      </c>
      <c r="C418945" s="11">
        <f t="shared" si="96"/>
        <v>18</v>
      </c>
      <c r="D418945" s="5" t="s">
        <v>18</v>
      </c>
      <c r="E418945" s="11" t="s">
        <v>14</v>
      </c>
      <c r="F418945" s="9" t="s">
        <v>15</v>
      </c>
      <c r="G418945">
        <v>1</v>
      </c>
      <c r="J418945" s="7">
        <v>5.8000000000000003E-2</v>
      </c>
      <c r="K418945" s="11">
        <f t="shared" si="94"/>
        <v>2026</v>
      </c>
      <c r="L418945" t="s">
        <v>25</v>
      </c>
      <c r="M418945" t="s">
        <v>17</v>
      </c>
    </row>
    <row r="418946" spans="1:13" x14ac:dyDescent="0.25">
      <c r="A418946" s="6">
        <v>46141</v>
      </c>
      <c r="B418946" s="11">
        <f t="shared" si="95"/>
        <v>4</v>
      </c>
      <c r="C418946" s="11">
        <f t="shared" si="96"/>
        <v>18</v>
      </c>
      <c r="D418946" s="5" t="s">
        <v>18</v>
      </c>
      <c r="E418946" s="11" t="s">
        <v>14</v>
      </c>
      <c r="F418946" s="9" t="s">
        <v>15</v>
      </c>
      <c r="G418946">
        <v>1</v>
      </c>
      <c r="J418946" s="7">
        <v>0.59799999999999998</v>
      </c>
      <c r="K418946" s="11">
        <f t="shared" si="94"/>
        <v>2026</v>
      </c>
      <c r="L418946" t="s">
        <v>25</v>
      </c>
      <c r="M418946" t="s">
        <v>17</v>
      </c>
    </row>
    <row r="418947" spans="1:13" x14ac:dyDescent="0.25">
      <c r="A418947" s="6">
        <v>46141</v>
      </c>
      <c r="B418947" s="11">
        <f t="shared" si="95"/>
        <v>4</v>
      </c>
      <c r="C418947" s="11">
        <f t="shared" si="96"/>
        <v>18</v>
      </c>
      <c r="D418947" s="5" t="s">
        <v>18</v>
      </c>
      <c r="E418947" s="11" t="s">
        <v>14</v>
      </c>
      <c r="F418947" s="9" t="s">
        <v>15</v>
      </c>
      <c r="G418947">
        <v>1</v>
      </c>
      <c r="J418947" s="7">
        <v>0.442</v>
      </c>
      <c r="K418947" s="11">
        <f t="shared" si="94"/>
        <v>2026</v>
      </c>
      <c r="L418947" t="s">
        <v>25</v>
      </c>
      <c r="M418947" t="s">
        <v>17</v>
      </c>
    </row>
    <row r="418948" spans="1:13" x14ac:dyDescent="0.25">
      <c r="A418948" s="6">
        <v>46141</v>
      </c>
      <c r="B418948" s="11">
        <f t="shared" si="95"/>
        <v>4</v>
      </c>
      <c r="C418948" s="11">
        <f t="shared" si="96"/>
        <v>18</v>
      </c>
      <c r="D418948" s="5" t="s">
        <v>18</v>
      </c>
      <c r="E418948" s="11" t="s">
        <v>14</v>
      </c>
      <c r="F418948" s="9" t="s">
        <v>15</v>
      </c>
      <c r="G418948">
        <v>1</v>
      </c>
      <c r="J418948" s="7">
        <v>12.602</v>
      </c>
      <c r="K418948" s="11">
        <f t="shared" si="94"/>
        <v>2026</v>
      </c>
      <c r="L418948" t="s">
        <v>25</v>
      </c>
      <c r="M418948" t="s">
        <v>17</v>
      </c>
    </row>
    <row r="418949" spans="1:13" x14ac:dyDescent="0.25">
      <c r="A418949" s="6">
        <v>46142.291666666664</v>
      </c>
      <c r="B418949" s="11">
        <f t="shared" si="95"/>
        <v>4</v>
      </c>
      <c r="C418949" s="11">
        <f t="shared" si="96"/>
        <v>18</v>
      </c>
      <c r="D418949" s="5" t="s">
        <v>18</v>
      </c>
      <c r="E418949" s="11" t="s">
        <v>14</v>
      </c>
      <c r="F418949" s="9" t="s">
        <v>15</v>
      </c>
      <c r="G418949">
        <v>1</v>
      </c>
      <c r="J418949" s="7">
        <v>2.0009999999999999</v>
      </c>
      <c r="K418949" s="11">
        <f t="shared" si="94"/>
        <v>2026</v>
      </c>
      <c r="L418949" t="s">
        <v>25</v>
      </c>
      <c r="M418949" t="s">
        <v>17</v>
      </c>
    </row>
    <row r="418950" spans="1:13" x14ac:dyDescent="0.25">
      <c r="A418950" s="6">
        <v>46142.291666666664</v>
      </c>
      <c r="B418950" s="11">
        <f t="shared" si="95"/>
        <v>4</v>
      </c>
      <c r="C418950" s="11">
        <f t="shared" si="96"/>
        <v>18</v>
      </c>
      <c r="D418950" s="5" t="s">
        <v>18</v>
      </c>
      <c r="E418950" s="11" t="s">
        <v>14</v>
      </c>
      <c r="F418950" s="9" t="s">
        <v>15</v>
      </c>
      <c r="G418950">
        <v>1</v>
      </c>
      <c r="J418950" s="7">
        <v>1.651</v>
      </c>
      <c r="K418950" s="11">
        <f t="shared" si="94"/>
        <v>2026</v>
      </c>
      <c r="L418950" t="s">
        <v>25</v>
      </c>
      <c r="M418950" t="s">
        <v>17</v>
      </c>
    </row>
    <row r="418951" spans="1:13" x14ac:dyDescent="0.25">
      <c r="A418951" s="6">
        <v>46142.291666666664</v>
      </c>
      <c r="B418951" s="11">
        <f t="shared" si="95"/>
        <v>4</v>
      </c>
      <c r="C418951" s="11">
        <f t="shared" si="96"/>
        <v>18</v>
      </c>
      <c r="D418951" s="5" t="s">
        <v>18</v>
      </c>
      <c r="E418951" s="11" t="s">
        <v>14</v>
      </c>
      <c r="F418951" s="9" t="s">
        <v>15</v>
      </c>
      <c r="G418951">
        <v>1</v>
      </c>
      <c r="J418951" s="7">
        <v>2.234</v>
      </c>
      <c r="K418951" s="11">
        <f t="shared" si="94"/>
        <v>2026</v>
      </c>
      <c r="L418951" t="s">
        <v>25</v>
      </c>
      <c r="M418951" t="s">
        <v>17</v>
      </c>
    </row>
    <row r="418952" spans="1:13" x14ac:dyDescent="0.25">
      <c r="A418952" s="6">
        <v>46142.291666666664</v>
      </c>
      <c r="B418952" s="11">
        <f t="shared" si="95"/>
        <v>4</v>
      </c>
      <c r="C418952" s="11">
        <f t="shared" si="96"/>
        <v>18</v>
      </c>
      <c r="D418952" s="5" t="s">
        <v>18</v>
      </c>
      <c r="E418952" s="11" t="s">
        <v>14</v>
      </c>
      <c r="F418952" s="9" t="s">
        <v>15</v>
      </c>
      <c r="G418952">
        <v>1</v>
      </c>
      <c r="J418952" s="7">
        <v>2.218</v>
      </c>
      <c r="K418952" s="11">
        <f t="shared" si="94"/>
        <v>2026</v>
      </c>
      <c r="L418952" t="s">
        <v>25</v>
      </c>
      <c r="M418952" t="s">
        <v>17</v>
      </c>
    </row>
    <row r="418953" spans="1:13" x14ac:dyDescent="0.25">
      <c r="A418953" s="6">
        <v>46141</v>
      </c>
      <c r="B418953" s="11">
        <f t="shared" si="95"/>
        <v>4</v>
      </c>
      <c r="C418953" s="11">
        <f t="shared" si="96"/>
        <v>18</v>
      </c>
      <c r="D418953" s="5" t="s">
        <v>13</v>
      </c>
      <c r="E418953" s="11" t="s">
        <v>14</v>
      </c>
      <c r="F418953" s="9" t="s">
        <v>15</v>
      </c>
      <c r="G418953">
        <v>1</v>
      </c>
      <c r="J418953" s="7">
        <v>0.874</v>
      </c>
      <c r="K418953" s="11">
        <f t="shared" si="94"/>
        <v>2026</v>
      </c>
      <c r="L418953" t="s">
        <v>25</v>
      </c>
      <c r="M418953" t="s">
        <v>17</v>
      </c>
    </row>
    <row r="418954" spans="1:13" x14ac:dyDescent="0.25">
      <c r="A418954" s="6">
        <v>46144.625</v>
      </c>
      <c r="B418954" s="11">
        <f t="shared" si="95"/>
        <v>5</v>
      </c>
      <c r="C418954" s="11">
        <f t="shared" si="96"/>
        <v>18</v>
      </c>
      <c r="D418954" s="5" t="s">
        <v>13</v>
      </c>
      <c r="E418954" s="11" t="s">
        <v>14</v>
      </c>
      <c r="F418954" s="9" t="s">
        <v>15</v>
      </c>
      <c r="G418954">
        <v>1</v>
      </c>
      <c r="J418954" s="7">
        <v>9.9760000000000009</v>
      </c>
      <c r="K418954" s="11">
        <f t="shared" si="94"/>
        <v>2026</v>
      </c>
      <c r="L418954" t="s">
        <v>25</v>
      </c>
      <c r="M418954" t="s">
        <v>17</v>
      </c>
    </row>
    <row r="418955" spans="1:13" x14ac:dyDescent="0.25">
      <c r="A418955" s="6">
        <v>46144.625</v>
      </c>
      <c r="B418955" s="11">
        <f t="shared" si="95"/>
        <v>5</v>
      </c>
      <c r="C418955" s="11">
        <f t="shared" si="96"/>
        <v>18</v>
      </c>
      <c r="D418955" s="5" t="s">
        <v>13</v>
      </c>
      <c r="E418955" s="11" t="s">
        <v>14</v>
      </c>
      <c r="F418955" s="9" t="s">
        <v>15</v>
      </c>
      <c r="G418955">
        <v>1</v>
      </c>
      <c r="J418955" s="7">
        <v>3.637</v>
      </c>
      <c r="K418955" s="11">
        <f t="shared" si="94"/>
        <v>2026</v>
      </c>
      <c r="L418955" t="s">
        <v>25</v>
      </c>
      <c r="M418955" t="s">
        <v>17</v>
      </c>
    </row>
    <row r="418956" spans="1:13" x14ac:dyDescent="0.25">
      <c r="A418956" s="6">
        <v>46144.625</v>
      </c>
      <c r="B418956" s="11">
        <f t="shared" si="95"/>
        <v>5</v>
      </c>
      <c r="C418956" s="11">
        <f t="shared" si="96"/>
        <v>18</v>
      </c>
      <c r="D418956" s="5" t="s">
        <v>13</v>
      </c>
      <c r="E418956" s="11" t="s">
        <v>14</v>
      </c>
      <c r="F418956" s="9" t="s">
        <v>15</v>
      </c>
      <c r="G418956">
        <v>1</v>
      </c>
      <c r="J418956" s="7">
        <v>4.5309999999999997</v>
      </c>
      <c r="K418956" s="11">
        <f t="shared" si="94"/>
        <v>2026</v>
      </c>
      <c r="L418956" t="s">
        <v>25</v>
      </c>
      <c r="M418956" t="s">
        <v>17</v>
      </c>
    </row>
    <row r="418957" spans="1:13" x14ac:dyDescent="0.25">
      <c r="A418957" s="6">
        <v>46141.916666666664</v>
      </c>
      <c r="B418957" s="11">
        <f t="shared" si="95"/>
        <v>4</v>
      </c>
      <c r="C418957" s="11">
        <f t="shared" si="96"/>
        <v>18</v>
      </c>
      <c r="D418957" s="5" t="s">
        <v>13</v>
      </c>
      <c r="E418957" s="11" t="s">
        <v>14</v>
      </c>
      <c r="F418957" s="9" t="s">
        <v>15</v>
      </c>
      <c r="G418957">
        <v>1</v>
      </c>
      <c r="J418957" s="7">
        <v>9.9269999999999996</v>
      </c>
      <c r="K418957" s="11">
        <f t="shared" si="94"/>
        <v>2026</v>
      </c>
      <c r="L418957" t="s">
        <v>25</v>
      </c>
      <c r="M418957" t="s">
        <v>17</v>
      </c>
    </row>
    <row r="418958" spans="1:13" x14ac:dyDescent="0.25">
      <c r="A418958" s="6">
        <v>46141.916666666664</v>
      </c>
      <c r="B418958" s="11">
        <f t="shared" si="95"/>
        <v>4</v>
      </c>
      <c r="C418958" s="11">
        <f t="shared" si="96"/>
        <v>18</v>
      </c>
      <c r="D418958" s="5" t="s">
        <v>13</v>
      </c>
      <c r="E418958" s="11" t="s">
        <v>14</v>
      </c>
      <c r="F418958" s="9" t="s">
        <v>15</v>
      </c>
      <c r="G418958">
        <v>1</v>
      </c>
      <c r="J418958" s="7">
        <v>1.298</v>
      </c>
      <c r="K418958" s="11">
        <f t="shared" si="94"/>
        <v>2026</v>
      </c>
      <c r="L418958" t="s">
        <v>25</v>
      </c>
      <c r="M418958" t="s">
        <v>17</v>
      </c>
    </row>
    <row r="418959" spans="1:13" x14ac:dyDescent="0.25">
      <c r="A418959" s="6">
        <v>46141.916666666664</v>
      </c>
      <c r="B418959" s="11">
        <f t="shared" si="95"/>
        <v>4</v>
      </c>
      <c r="C418959" s="11">
        <f t="shared" si="96"/>
        <v>18</v>
      </c>
      <c r="D418959" s="5" t="s">
        <v>13</v>
      </c>
      <c r="E418959" s="11" t="s">
        <v>14</v>
      </c>
      <c r="F418959" s="9" t="s">
        <v>15</v>
      </c>
      <c r="G418959">
        <v>1</v>
      </c>
      <c r="J418959" s="7">
        <v>2.6640000000000001</v>
      </c>
      <c r="K418959" s="11">
        <f t="shared" si="94"/>
        <v>2026</v>
      </c>
      <c r="L418959" t="s">
        <v>25</v>
      </c>
      <c r="M418959" t="s">
        <v>17</v>
      </c>
    </row>
    <row r="418960" spans="1:13" x14ac:dyDescent="0.25">
      <c r="A418960" s="6">
        <v>46141.916666666664</v>
      </c>
      <c r="B418960" s="11">
        <f t="shared" si="95"/>
        <v>4</v>
      </c>
      <c r="C418960" s="11">
        <f t="shared" si="96"/>
        <v>18</v>
      </c>
      <c r="D418960" s="5" t="s">
        <v>13</v>
      </c>
      <c r="E418960" s="11" t="s">
        <v>14</v>
      </c>
      <c r="F418960" s="9" t="s">
        <v>15</v>
      </c>
      <c r="G418960">
        <v>1</v>
      </c>
      <c r="J418960" s="7">
        <v>2.802</v>
      </c>
      <c r="K418960" s="11">
        <f t="shared" si="94"/>
        <v>2026</v>
      </c>
      <c r="L418960" t="s">
        <v>25</v>
      </c>
      <c r="M418960" t="s">
        <v>17</v>
      </c>
    </row>
    <row r="418961" spans="1:13" x14ac:dyDescent="0.25">
      <c r="A418961" s="6">
        <v>46141.916666666664</v>
      </c>
      <c r="B418961" s="11">
        <f t="shared" si="95"/>
        <v>4</v>
      </c>
      <c r="C418961" s="11">
        <f t="shared" si="96"/>
        <v>18</v>
      </c>
      <c r="D418961" s="5" t="s">
        <v>13</v>
      </c>
      <c r="E418961" s="11" t="s">
        <v>14</v>
      </c>
      <c r="F418961" s="9" t="s">
        <v>15</v>
      </c>
      <c r="G418961">
        <v>1</v>
      </c>
      <c r="J418961" s="7">
        <v>4.1139999999999999</v>
      </c>
      <c r="K418961" s="11">
        <f t="shared" si="94"/>
        <v>2026</v>
      </c>
      <c r="L418961" t="s">
        <v>25</v>
      </c>
      <c r="M418961" t="s">
        <v>17</v>
      </c>
    </row>
    <row r="418962" spans="1:13" x14ac:dyDescent="0.25">
      <c r="A418962" s="6">
        <v>46141.916666666664</v>
      </c>
      <c r="B418962" s="11">
        <f t="shared" si="95"/>
        <v>4</v>
      </c>
      <c r="C418962" s="11">
        <f t="shared" si="96"/>
        <v>18</v>
      </c>
      <c r="D418962" s="5" t="s">
        <v>13</v>
      </c>
      <c r="E418962" s="11" t="s">
        <v>14</v>
      </c>
      <c r="F418962" s="9" t="s">
        <v>15</v>
      </c>
      <c r="G418962">
        <v>1</v>
      </c>
      <c r="J418962" s="7">
        <v>3.0289999999999999</v>
      </c>
      <c r="K418962" s="11">
        <f t="shared" si="94"/>
        <v>2026</v>
      </c>
      <c r="L418962" t="s">
        <v>25</v>
      </c>
      <c r="M418962" t="s">
        <v>17</v>
      </c>
    </row>
    <row r="418963" spans="1:13" x14ac:dyDescent="0.25">
      <c r="A418963" s="6">
        <v>46141.916666666664</v>
      </c>
      <c r="B418963" s="11">
        <f t="shared" si="95"/>
        <v>4</v>
      </c>
      <c r="C418963" s="11">
        <f t="shared" si="96"/>
        <v>18</v>
      </c>
      <c r="D418963" s="5" t="s">
        <v>13</v>
      </c>
      <c r="E418963" s="11" t="s">
        <v>14</v>
      </c>
      <c r="F418963" s="9" t="s">
        <v>15</v>
      </c>
      <c r="G418963">
        <v>1</v>
      </c>
      <c r="J418963" s="7">
        <v>1.542</v>
      </c>
      <c r="K418963" s="11">
        <f t="shared" si="94"/>
        <v>2026</v>
      </c>
      <c r="L418963" t="s">
        <v>25</v>
      </c>
      <c r="M418963" t="s">
        <v>17</v>
      </c>
    </row>
    <row r="418964" spans="1:13" x14ac:dyDescent="0.25">
      <c r="A418964" s="6">
        <v>46141.916666666664</v>
      </c>
      <c r="B418964" s="11">
        <f t="shared" si="95"/>
        <v>4</v>
      </c>
      <c r="C418964" s="11">
        <f t="shared" si="96"/>
        <v>18</v>
      </c>
      <c r="D418964" s="5" t="s">
        <v>13</v>
      </c>
      <c r="E418964" s="11" t="s">
        <v>14</v>
      </c>
      <c r="F418964" s="9" t="s">
        <v>15</v>
      </c>
      <c r="G418964">
        <v>1</v>
      </c>
      <c r="J418964" s="7">
        <v>3.0659999999999998</v>
      </c>
      <c r="K418964" s="11">
        <f t="shared" si="94"/>
        <v>2026</v>
      </c>
      <c r="L418964" t="s">
        <v>25</v>
      </c>
      <c r="M418964" t="s">
        <v>17</v>
      </c>
    </row>
    <row r="418965" spans="1:13" x14ac:dyDescent="0.25">
      <c r="A418965" s="6">
        <v>46139.791666666664</v>
      </c>
      <c r="B418965" s="11">
        <f t="shared" si="95"/>
        <v>4</v>
      </c>
      <c r="C418965" s="11">
        <f t="shared" si="96"/>
        <v>18</v>
      </c>
      <c r="D418965" s="5" t="s">
        <v>18</v>
      </c>
      <c r="E418965" s="11" t="s">
        <v>14</v>
      </c>
      <c r="F418965" s="9" t="s">
        <v>15</v>
      </c>
      <c r="G418965">
        <v>1</v>
      </c>
      <c r="J418965" s="7">
        <v>0.59</v>
      </c>
      <c r="K418965" s="11">
        <f t="shared" si="94"/>
        <v>2026</v>
      </c>
      <c r="L418965" t="s">
        <v>25</v>
      </c>
      <c r="M418965" t="s">
        <v>17</v>
      </c>
    </row>
    <row r="418966" spans="1:13" x14ac:dyDescent="0.25">
      <c r="A418966" s="6">
        <v>46140</v>
      </c>
      <c r="B418966" s="11">
        <f t="shared" si="95"/>
        <v>4</v>
      </c>
      <c r="C418966" s="11">
        <f t="shared" si="96"/>
        <v>18</v>
      </c>
      <c r="D418966" s="5" t="s">
        <v>20</v>
      </c>
      <c r="E418966" s="11" t="s">
        <v>14</v>
      </c>
      <c r="F418966" s="9" t="s">
        <v>22</v>
      </c>
      <c r="G418966">
        <v>1</v>
      </c>
      <c r="J418966" s="7">
        <v>1.1319999999999999</v>
      </c>
      <c r="K418966" s="11">
        <f t="shared" si="94"/>
        <v>2026</v>
      </c>
      <c r="L418966" t="s">
        <v>25</v>
      </c>
      <c r="M418966" t="s">
        <v>17</v>
      </c>
    </row>
    <row r="418967" spans="1:13" x14ac:dyDescent="0.25">
      <c r="A418967" s="6">
        <v>46140</v>
      </c>
      <c r="B418967" s="11">
        <f t="shared" si="95"/>
        <v>4</v>
      </c>
      <c r="C418967" s="11">
        <f t="shared" si="96"/>
        <v>18</v>
      </c>
      <c r="D418967" s="5" t="s">
        <v>20</v>
      </c>
      <c r="E418967" s="11" t="s">
        <v>14</v>
      </c>
      <c r="F418967" s="9" t="s">
        <v>22</v>
      </c>
      <c r="G418967">
        <v>1</v>
      </c>
      <c r="J418967" s="7">
        <v>1.1319999999999999</v>
      </c>
      <c r="K418967" s="11">
        <f t="shared" si="94"/>
        <v>2026</v>
      </c>
      <c r="L418967" t="s">
        <v>25</v>
      </c>
      <c r="M418967" t="s">
        <v>17</v>
      </c>
    </row>
    <row r="418968" spans="1:13" x14ac:dyDescent="0.25">
      <c r="A418968" s="6">
        <v>46140</v>
      </c>
      <c r="B418968" s="11">
        <f t="shared" si="95"/>
        <v>4</v>
      </c>
      <c r="C418968" s="11">
        <f t="shared" si="96"/>
        <v>18</v>
      </c>
      <c r="D418968" s="5" t="s">
        <v>18</v>
      </c>
      <c r="E418968" s="11" t="s">
        <v>14</v>
      </c>
      <c r="F418968" s="9" t="s">
        <v>22</v>
      </c>
      <c r="G418968">
        <v>1</v>
      </c>
      <c r="J418968" s="7">
        <v>6.3689999999999998</v>
      </c>
      <c r="K418968" s="11">
        <f t="shared" si="94"/>
        <v>2026</v>
      </c>
      <c r="L418968" t="s">
        <v>25</v>
      </c>
      <c r="M418968" t="s">
        <v>17</v>
      </c>
    </row>
    <row r="418969" spans="1:13" x14ac:dyDescent="0.25">
      <c r="A418969" s="6">
        <v>46143</v>
      </c>
      <c r="B418969" s="11">
        <f t="shared" si="95"/>
        <v>5</v>
      </c>
      <c r="C418969" s="11">
        <f t="shared" si="96"/>
        <v>18</v>
      </c>
      <c r="D418969" s="5" t="s">
        <v>19</v>
      </c>
      <c r="E418969" s="11" t="s">
        <v>14</v>
      </c>
      <c r="F418969" s="9" t="s">
        <v>22</v>
      </c>
      <c r="G418969">
        <v>1</v>
      </c>
      <c r="J418969" s="7">
        <v>8.11</v>
      </c>
      <c r="K418969" s="11">
        <f t="shared" si="94"/>
        <v>2026</v>
      </c>
      <c r="L418969" t="s">
        <v>25</v>
      </c>
      <c r="M418969" t="s">
        <v>17</v>
      </c>
    </row>
    <row r="418970" spans="1:13" x14ac:dyDescent="0.25">
      <c r="A418970" s="6">
        <v>46139.791666666664</v>
      </c>
      <c r="B418970" s="11">
        <f t="shared" si="95"/>
        <v>4</v>
      </c>
      <c r="C418970" s="11">
        <f t="shared" si="96"/>
        <v>18</v>
      </c>
      <c r="D418970" s="5" t="s">
        <v>18</v>
      </c>
      <c r="E418970" s="11" t="s">
        <v>14</v>
      </c>
      <c r="F418970" s="9" t="s">
        <v>15</v>
      </c>
      <c r="G418970">
        <v>1</v>
      </c>
      <c r="J418970" s="7">
        <v>0.29199999999999998</v>
      </c>
      <c r="K418970" s="11">
        <f t="shared" si="94"/>
        <v>2026</v>
      </c>
      <c r="L418970" t="s">
        <v>25</v>
      </c>
      <c r="M418970" t="s">
        <v>17</v>
      </c>
    </row>
    <row r="418971" spans="1:13" x14ac:dyDescent="0.25">
      <c r="A418971" s="6">
        <v>46142.291666666664</v>
      </c>
      <c r="B418971" s="11">
        <f t="shared" si="95"/>
        <v>4</v>
      </c>
      <c r="C418971" s="11">
        <f t="shared" si="96"/>
        <v>18</v>
      </c>
      <c r="D418971" s="5" t="s">
        <v>18</v>
      </c>
      <c r="E418971" s="11" t="s">
        <v>14</v>
      </c>
      <c r="F418971" s="9" t="s">
        <v>15</v>
      </c>
      <c r="G418971">
        <v>1</v>
      </c>
      <c r="J418971" s="7">
        <v>10.439</v>
      </c>
      <c r="K418971" s="11">
        <f t="shared" si="94"/>
        <v>2026</v>
      </c>
      <c r="L418971" t="s">
        <v>25</v>
      </c>
      <c r="M418971" t="s">
        <v>17</v>
      </c>
    </row>
    <row r="418972" spans="1:13" x14ac:dyDescent="0.25">
      <c r="A418972" s="6">
        <v>46142.291666666664</v>
      </c>
      <c r="B418972" s="11">
        <f t="shared" si="95"/>
        <v>4</v>
      </c>
      <c r="C418972" s="11">
        <f t="shared" si="96"/>
        <v>18</v>
      </c>
      <c r="D418972" s="5" t="s">
        <v>13</v>
      </c>
      <c r="E418972" s="11" t="s">
        <v>14</v>
      </c>
      <c r="F418972" s="9" t="s">
        <v>15</v>
      </c>
      <c r="G418972">
        <v>1</v>
      </c>
      <c r="J418972" s="7">
        <v>3.528</v>
      </c>
      <c r="K418972" s="11">
        <f t="shared" si="94"/>
        <v>2026</v>
      </c>
      <c r="L418972" t="s">
        <v>25</v>
      </c>
      <c r="M418972" t="s">
        <v>17</v>
      </c>
    </row>
    <row r="418973" spans="1:13" x14ac:dyDescent="0.25">
      <c r="A418973" s="6">
        <v>46139.791666666664</v>
      </c>
      <c r="B418973" s="11">
        <f t="shared" si="95"/>
        <v>4</v>
      </c>
      <c r="C418973" s="11">
        <f t="shared" si="96"/>
        <v>18</v>
      </c>
      <c r="D418973" s="5" t="s">
        <v>13</v>
      </c>
      <c r="E418973" s="11" t="s">
        <v>14</v>
      </c>
      <c r="F418973" s="9" t="s">
        <v>15</v>
      </c>
      <c r="G418973">
        <v>1</v>
      </c>
      <c r="J418973" s="7">
        <v>0.11</v>
      </c>
      <c r="K418973" s="11">
        <f t="shared" si="94"/>
        <v>2026</v>
      </c>
      <c r="L418973" t="s">
        <v>25</v>
      </c>
      <c r="M418973" t="s">
        <v>17</v>
      </c>
    </row>
    <row r="418974" spans="1:13" x14ac:dyDescent="0.25">
      <c r="A418974" s="6">
        <v>46139.791666666664</v>
      </c>
      <c r="B418974" s="11">
        <f t="shared" si="95"/>
        <v>4</v>
      </c>
      <c r="C418974" s="11">
        <f t="shared" si="96"/>
        <v>18</v>
      </c>
      <c r="D418974" s="5" t="s">
        <v>18</v>
      </c>
      <c r="E418974" s="11" t="s">
        <v>14</v>
      </c>
      <c r="F418974" s="9" t="s">
        <v>15</v>
      </c>
      <c r="G418974">
        <v>1</v>
      </c>
      <c r="J418974" s="7">
        <v>1.4810000000000001</v>
      </c>
      <c r="K418974" s="11">
        <f t="shared" si="94"/>
        <v>2026</v>
      </c>
      <c r="L418974" t="s">
        <v>25</v>
      </c>
      <c r="M418974" t="s">
        <v>17</v>
      </c>
    </row>
    <row r="418975" spans="1:13" x14ac:dyDescent="0.25">
      <c r="A418975" s="6">
        <v>46139.791666666664</v>
      </c>
      <c r="B418975" s="11">
        <f t="shared" si="95"/>
        <v>4</v>
      </c>
      <c r="C418975" s="11">
        <f t="shared" si="96"/>
        <v>18</v>
      </c>
      <c r="D418975" s="5" t="s">
        <v>13</v>
      </c>
      <c r="E418975" s="11" t="s">
        <v>14</v>
      </c>
      <c r="F418975" s="9" t="s">
        <v>15</v>
      </c>
      <c r="G418975">
        <v>1</v>
      </c>
      <c r="J418975" s="7">
        <v>0.63400000000000001</v>
      </c>
      <c r="K418975" s="11">
        <f t="shared" si="94"/>
        <v>2026</v>
      </c>
      <c r="L418975" t="s">
        <v>25</v>
      </c>
      <c r="M418975" t="s">
        <v>17</v>
      </c>
    </row>
    <row r="418976" spans="1:13" x14ac:dyDescent="0.25">
      <c r="A418976" s="6">
        <v>46143.791666666664</v>
      </c>
      <c r="B418976" s="11">
        <f t="shared" si="95"/>
        <v>5</v>
      </c>
      <c r="C418976" s="11">
        <f t="shared" si="96"/>
        <v>18</v>
      </c>
      <c r="D418976" s="5" t="s">
        <v>13</v>
      </c>
      <c r="E418976" s="11" t="s">
        <v>14</v>
      </c>
      <c r="F418976" s="9" t="s">
        <v>15</v>
      </c>
      <c r="G418976">
        <v>1</v>
      </c>
      <c r="J418976" s="7">
        <v>12.456</v>
      </c>
      <c r="K418976" s="11">
        <f t="shared" si="94"/>
        <v>2026</v>
      </c>
      <c r="L418976" t="s">
        <v>25</v>
      </c>
      <c r="M418976" t="s">
        <v>17</v>
      </c>
    </row>
    <row r="418977" spans="1:13" x14ac:dyDescent="0.25">
      <c r="A418977" s="6">
        <v>46139.791666666664</v>
      </c>
      <c r="B418977" s="11">
        <f t="shared" si="95"/>
        <v>4</v>
      </c>
      <c r="C418977" s="11">
        <f t="shared" si="96"/>
        <v>18</v>
      </c>
      <c r="D418977" s="5" t="s">
        <v>13</v>
      </c>
      <c r="E418977" s="11" t="s">
        <v>14</v>
      </c>
      <c r="F418977" s="9" t="s">
        <v>15</v>
      </c>
      <c r="G418977">
        <v>1</v>
      </c>
      <c r="J418977" s="7">
        <v>2.524</v>
      </c>
      <c r="K418977" s="11">
        <f t="shared" si="94"/>
        <v>2026</v>
      </c>
      <c r="L418977" t="s">
        <v>25</v>
      </c>
      <c r="M418977" t="s">
        <v>17</v>
      </c>
    </row>
    <row r="418978" spans="1:13" x14ac:dyDescent="0.25">
      <c r="A418978" s="6">
        <v>46142.291666666664</v>
      </c>
      <c r="B418978" s="11">
        <f t="shared" si="95"/>
        <v>4</v>
      </c>
      <c r="C418978" s="11">
        <f t="shared" si="96"/>
        <v>18</v>
      </c>
      <c r="D418978" s="5" t="s">
        <v>13</v>
      </c>
      <c r="E418978" s="11" t="s">
        <v>14</v>
      </c>
      <c r="F418978" s="9" t="s">
        <v>15</v>
      </c>
      <c r="G418978">
        <v>1</v>
      </c>
      <c r="J418978" s="7">
        <v>2.9660000000000002</v>
      </c>
      <c r="K418978" s="11">
        <f t="shared" si="94"/>
        <v>2026</v>
      </c>
      <c r="L418978" t="s">
        <v>25</v>
      </c>
      <c r="M418978" t="s">
        <v>17</v>
      </c>
    </row>
    <row r="418979" spans="1:13" x14ac:dyDescent="0.25">
      <c r="A418979" s="6">
        <v>46139</v>
      </c>
      <c r="B418979" s="11">
        <f t="shared" si="95"/>
        <v>4</v>
      </c>
      <c r="C418979" s="11">
        <f t="shared" si="96"/>
        <v>18</v>
      </c>
      <c r="D418979" s="5" t="s">
        <v>19</v>
      </c>
      <c r="E418979" s="11" t="s">
        <v>14</v>
      </c>
      <c r="F418979" s="9" t="s">
        <v>22</v>
      </c>
      <c r="G418979">
        <v>1</v>
      </c>
      <c r="J418979" s="7">
        <v>1.2110000000000001</v>
      </c>
      <c r="K418979" s="11">
        <f t="shared" si="94"/>
        <v>2026</v>
      </c>
      <c r="L418979" t="s">
        <v>25</v>
      </c>
      <c r="M418979" t="s">
        <v>17</v>
      </c>
    </row>
    <row r="418980" spans="1:13" x14ac:dyDescent="0.25">
      <c r="A418980" s="6">
        <v>46139</v>
      </c>
      <c r="B418980" s="11">
        <f t="shared" si="95"/>
        <v>4</v>
      </c>
      <c r="C418980" s="11">
        <f t="shared" si="96"/>
        <v>18</v>
      </c>
      <c r="D418980" s="5" t="s">
        <v>19</v>
      </c>
      <c r="E418980" s="11" t="s">
        <v>14</v>
      </c>
      <c r="F418980" s="9" t="s">
        <v>22</v>
      </c>
      <c r="G418980">
        <v>1</v>
      </c>
      <c r="J418980" s="7">
        <v>0.86399999999999999</v>
      </c>
      <c r="K418980" s="11">
        <f t="shared" si="94"/>
        <v>2026</v>
      </c>
      <c r="L418980" t="s">
        <v>25</v>
      </c>
      <c r="M418980" t="s">
        <v>17</v>
      </c>
    </row>
    <row r="418981" spans="1:13" x14ac:dyDescent="0.25">
      <c r="A418981" s="6">
        <v>46139</v>
      </c>
      <c r="B418981" s="11">
        <f t="shared" si="95"/>
        <v>4</v>
      </c>
      <c r="C418981" s="11">
        <f t="shared" si="96"/>
        <v>18</v>
      </c>
      <c r="D418981" s="5" t="s">
        <v>19</v>
      </c>
      <c r="E418981" s="11" t="s">
        <v>14</v>
      </c>
      <c r="F418981" s="9" t="s">
        <v>22</v>
      </c>
      <c r="G418981">
        <v>1</v>
      </c>
      <c r="J418981" s="7">
        <v>4.9930000000000003</v>
      </c>
      <c r="K418981" s="11">
        <f t="shared" si="94"/>
        <v>2026</v>
      </c>
      <c r="L418981" t="s">
        <v>25</v>
      </c>
      <c r="M418981" t="s">
        <v>17</v>
      </c>
    </row>
    <row r="418982" spans="1:13" x14ac:dyDescent="0.25">
      <c r="A418982" s="6">
        <v>46140</v>
      </c>
      <c r="B418982" s="11">
        <f t="shared" si="95"/>
        <v>4</v>
      </c>
      <c r="C418982" s="11">
        <f t="shared" si="96"/>
        <v>18</v>
      </c>
      <c r="D418982" s="5" t="s">
        <v>13</v>
      </c>
      <c r="E418982" s="11" t="s">
        <v>14</v>
      </c>
      <c r="F418982" s="9" t="s">
        <v>22</v>
      </c>
      <c r="G418982">
        <v>1</v>
      </c>
      <c r="J418982" s="7">
        <v>1.3009999999999999</v>
      </c>
      <c r="K418982" s="11">
        <f t="shared" si="94"/>
        <v>2026</v>
      </c>
      <c r="L418982" t="s">
        <v>25</v>
      </c>
      <c r="M418982" t="s">
        <v>17</v>
      </c>
    </row>
    <row r="418983" spans="1:13" x14ac:dyDescent="0.25">
      <c r="A418983" s="6">
        <v>46142</v>
      </c>
      <c r="B418983" s="11">
        <f t="shared" si="95"/>
        <v>4</v>
      </c>
      <c r="C418983" s="11">
        <f t="shared" si="96"/>
        <v>18</v>
      </c>
      <c r="D418983" s="5" t="s">
        <v>21</v>
      </c>
      <c r="E418983" s="11" t="s">
        <v>14</v>
      </c>
      <c r="F418983" s="9" t="s">
        <v>22</v>
      </c>
      <c r="G418983">
        <v>1</v>
      </c>
      <c r="J418983" s="7">
        <v>1.1200000000000001</v>
      </c>
      <c r="K418983" s="11">
        <f t="shared" si="94"/>
        <v>2026</v>
      </c>
      <c r="L418983" t="s">
        <v>25</v>
      </c>
      <c r="M418983" t="s">
        <v>17</v>
      </c>
    </row>
    <row r="418984" spans="1:13" x14ac:dyDescent="0.25">
      <c r="A418984" s="6">
        <v>46140</v>
      </c>
      <c r="B418984" s="11">
        <f t="shared" si="95"/>
        <v>4</v>
      </c>
      <c r="C418984" s="11">
        <f t="shared" si="96"/>
        <v>18</v>
      </c>
      <c r="D418984" s="5" t="s">
        <v>13</v>
      </c>
      <c r="E418984" s="11" t="s">
        <v>14</v>
      </c>
      <c r="F418984" s="9" t="s">
        <v>22</v>
      </c>
      <c r="G418984">
        <v>1</v>
      </c>
      <c r="J418984" s="7">
        <v>1.5</v>
      </c>
      <c r="K418984" s="11">
        <f t="shared" si="94"/>
        <v>2026</v>
      </c>
      <c r="L418984" t="s">
        <v>25</v>
      </c>
      <c r="M418984" t="s">
        <v>17</v>
      </c>
    </row>
    <row r="418985" spans="1:13" x14ac:dyDescent="0.25">
      <c r="A418985" s="6">
        <v>46141</v>
      </c>
      <c r="B418985" s="11">
        <f t="shared" si="95"/>
        <v>4</v>
      </c>
      <c r="C418985" s="11">
        <f t="shared" si="96"/>
        <v>18</v>
      </c>
      <c r="D418985" s="5" t="s">
        <v>18</v>
      </c>
      <c r="E418985" s="11" t="s">
        <v>14</v>
      </c>
      <c r="F418985" s="9" t="s">
        <v>15</v>
      </c>
      <c r="G418985">
        <v>1</v>
      </c>
      <c r="J418985" s="7">
        <v>0.105</v>
      </c>
      <c r="K418985" s="11">
        <f t="shared" si="94"/>
        <v>2026</v>
      </c>
      <c r="L418985" t="s">
        <v>25</v>
      </c>
      <c r="M418985" t="s">
        <v>17</v>
      </c>
    </row>
    <row r="418986" spans="1:13" x14ac:dyDescent="0.25">
      <c r="A418986" s="6">
        <v>46141</v>
      </c>
      <c r="B418986" s="11">
        <f t="shared" si="95"/>
        <v>4</v>
      </c>
      <c r="C418986" s="11">
        <f t="shared" si="96"/>
        <v>18</v>
      </c>
      <c r="D418986" s="5" t="s">
        <v>18</v>
      </c>
      <c r="E418986" s="11" t="s">
        <v>14</v>
      </c>
      <c r="F418986" s="9" t="s">
        <v>15</v>
      </c>
      <c r="G418986">
        <v>1</v>
      </c>
      <c r="J418986" s="7">
        <v>2.202</v>
      </c>
      <c r="K418986" s="11">
        <f t="shared" si="94"/>
        <v>2026</v>
      </c>
      <c r="L418986" t="s">
        <v>25</v>
      </c>
      <c r="M418986" t="s">
        <v>17</v>
      </c>
    </row>
    <row r="418987" spans="1:13" x14ac:dyDescent="0.25">
      <c r="A418987" s="6">
        <v>46141</v>
      </c>
      <c r="B418987" s="11">
        <f t="shared" ref="B418987:B418988" si="97">MONTH(A418987)</f>
        <v>4</v>
      </c>
      <c r="C418987" s="11">
        <f t="shared" ref="C418987:C418988" si="98">WEEKNUM(A418987)</f>
        <v>18</v>
      </c>
      <c r="D418987" s="5" t="s">
        <v>18</v>
      </c>
      <c r="E418987" s="11" t="s">
        <v>14</v>
      </c>
      <c r="F418987" s="9" t="s">
        <v>15</v>
      </c>
      <c r="G418987">
        <v>1</v>
      </c>
      <c r="J418987" s="7">
        <v>0.48299999999999998</v>
      </c>
      <c r="K418987" s="11">
        <f t="shared" si="94"/>
        <v>2026</v>
      </c>
      <c r="L418987" t="s">
        <v>25</v>
      </c>
      <c r="M418987" t="s">
        <v>17</v>
      </c>
    </row>
    <row r="418988" spans="1:13" x14ac:dyDescent="0.25">
      <c r="A418988" s="6">
        <v>46141</v>
      </c>
      <c r="B418988" s="11">
        <f t="shared" si="97"/>
        <v>4</v>
      </c>
      <c r="C418988" s="11">
        <f t="shared" si="98"/>
        <v>18</v>
      </c>
      <c r="D418988" s="5" t="s">
        <v>18</v>
      </c>
      <c r="E418988" s="11" t="s">
        <v>14</v>
      </c>
      <c r="F418988" s="9" t="s">
        <v>15</v>
      </c>
      <c r="G418988">
        <v>1</v>
      </c>
      <c r="J418988" s="7">
        <v>0.871</v>
      </c>
      <c r="K418988" s="11">
        <f t="shared" ref="K418988:K419051" si="99">YEAR(A418988)</f>
        <v>2026</v>
      </c>
      <c r="L418988" t="s">
        <v>25</v>
      </c>
      <c r="M418988" t="s">
        <v>17</v>
      </c>
    </row>
    <row r="418989" spans="1:13" x14ac:dyDescent="0.25">
      <c r="A418989" s="6">
        <v>46144</v>
      </c>
      <c r="B418989" s="11">
        <f t="shared" ref="B418989:B419050" si="100">MONTH(A418989)</f>
        <v>5</v>
      </c>
      <c r="C418989" s="11">
        <f t="shared" ref="C418989:C419050" si="101">WEEKNUM(A418989)</f>
        <v>18</v>
      </c>
      <c r="D418989" s="5" t="s">
        <v>19</v>
      </c>
      <c r="E418989" s="11" t="s">
        <v>14</v>
      </c>
      <c r="F418989" s="9" t="s">
        <v>22</v>
      </c>
      <c r="G418989">
        <v>1</v>
      </c>
      <c r="J418989" s="7">
        <v>8.9930000000000003</v>
      </c>
      <c r="K418989" s="11">
        <f t="shared" si="99"/>
        <v>2026</v>
      </c>
      <c r="L418989" t="s">
        <v>25</v>
      </c>
      <c r="M418989" t="s">
        <v>17</v>
      </c>
    </row>
    <row r="418990" spans="1:13" x14ac:dyDescent="0.25">
      <c r="A418990" s="6">
        <v>46142.291666666664</v>
      </c>
      <c r="B418990" s="11">
        <f t="shared" si="100"/>
        <v>4</v>
      </c>
      <c r="C418990" s="11">
        <f t="shared" si="101"/>
        <v>18</v>
      </c>
      <c r="D418990" s="5" t="s">
        <v>13</v>
      </c>
      <c r="E418990" s="11" t="s">
        <v>14</v>
      </c>
      <c r="F418990" s="9" t="s">
        <v>15</v>
      </c>
      <c r="G418990">
        <v>1</v>
      </c>
      <c r="J418990" s="7">
        <v>0.11</v>
      </c>
      <c r="K418990" s="11">
        <f t="shared" si="99"/>
        <v>2026</v>
      </c>
      <c r="L418990" t="s">
        <v>25</v>
      </c>
      <c r="M418990" t="s">
        <v>17</v>
      </c>
    </row>
    <row r="418991" spans="1:13" x14ac:dyDescent="0.25">
      <c r="A418991" s="6">
        <v>46142.291666666664</v>
      </c>
      <c r="B418991" s="11">
        <f t="shared" si="100"/>
        <v>4</v>
      </c>
      <c r="C418991" s="11">
        <f t="shared" si="101"/>
        <v>18</v>
      </c>
      <c r="D418991" s="5" t="s">
        <v>13</v>
      </c>
      <c r="E418991" s="11" t="s">
        <v>14</v>
      </c>
      <c r="F418991" s="9" t="s">
        <v>15</v>
      </c>
      <c r="G418991">
        <v>1</v>
      </c>
      <c r="J418991" s="7">
        <v>3.9529999999999998</v>
      </c>
      <c r="K418991" s="11">
        <f t="shared" si="99"/>
        <v>2026</v>
      </c>
      <c r="L418991" t="s">
        <v>25</v>
      </c>
      <c r="M418991" t="s">
        <v>17</v>
      </c>
    </row>
    <row r="418992" spans="1:13" x14ac:dyDescent="0.25">
      <c r="A418992" s="6">
        <v>46139.041666666664</v>
      </c>
      <c r="B418992" s="11">
        <f t="shared" si="100"/>
        <v>4</v>
      </c>
      <c r="C418992" s="11">
        <f t="shared" si="101"/>
        <v>18</v>
      </c>
      <c r="D418992" s="5" t="s">
        <v>23</v>
      </c>
      <c r="E418992" s="11" t="s">
        <v>14</v>
      </c>
      <c r="F418992" s="9" t="s">
        <v>22</v>
      </c>
      <c r="G418992">
        <v>1</v>
      </c>
      <c r="J418992" s="7">
        <v>2.964</v>
      </c>
      <c r="K418992" s="11">
        <f t="shared" si="99"/>
        <v>2026</v>
      </c>
      <c r="L418992" t="s">
        <v>25</v>
      </c>
      <c r="M418992" t="s">
        <v>17</v>
      </c>
    </row>
    <row r="418993" spans="1:13" x14ac:dyDescent="0.25">
      <c r="A418993" s="6">
        <v>46139.791666666664</v>
      </c>
      <c r="B418993" s="11">
        <f t="shared" si="100"/>
        <v>4</v>
      </c>
      <c r="C418993" s="11">
        <f t="shared" si="101"/>
        <v>18</v>
      </c>
      <c r="D418993" s="5" t="s">
        <v>18</v>
      </c>
      <c r="E418993" s="11" t="s">
        <v>14</v>
      </c>
      <c r="F418993" s="9" t="s">
        <v>15</v>
      </c>
      <c r="G418993">
        <v>1</v>
      </c>
      <c r="J418993" s="7">
        <v>1.92</v>
      </c>
      <c r="K418993" s="11">
        <f t="shared" si="99"/>
        <v>2026</v>
      </c>
      <c r="L418993" t="s">
        <v>25</v>
      </c>
      <c r="M418993" t="s">
        <v>17</v>
      </c>
    </row>
    <row r="418994" spans="1:13" x14ac:dyDescent="0.25">
      <c r="A418994" s="6">
        <v>46140</v>
      </c>
      <c r="B418994" s="11">
        <f t="shared" si="100"/>
        <v>4</v>
      </c>
      <c r="C418994" s="11">
        <f t="shared" si="101"/>
        <v>18</v>
      </c>
      <c r="D418994" s="5" t="s">
        <v>13</v>
      </c>
      <c r="E418994" s="11" t="s">
        <v>14</v>
      </c>
      <c r="F418994" s="9" t="s">
        <v>22</v>
      </c>
      <c r="G418994">
        <v>1</v>
      </c>
      <c r="J418994" s="7">
        <v>3.867</v>
      </c>
      <c r="K418994" s="11">
        <f t="shared" si="99"/>
        <v>2026</v>
      </c>
      <c r="L418994" t="s">
        <v>25</v>
      </c>
      <c r="M418994" t="s">
        <v>17</v>
      </c>
    </row>
    <row r="418995" spans="1:13" x14ac:dyDescent="0.25">
      <c r="A418995" s="6">
        <v>46142.166666666664</v>
      </c>
      <c r="B418995" s="11">
        <f t="shared" si="100"/>
        <v>4</v>
      </c>
      <c r="C418995" s="11">
        <f t="shared" si="101"/>
        <v>18</v>
      </c>
      <c r="D418995" s="5" t="s">
        <v>13</v>
      </c>
      <c r="E418995" s="11" t="s">
        <v>14</v>
      </c>
      <c r="F418995" s="9" t="s">
        <v>22</v>
      </c>
      <c r="G418995">
        <v>1</v>
      </c>
      <c r="J418995" s="7">
        <v>16</v>
      </c>
      <c r="K418995" s="11">
        <f t="shared" si="99"/>
        <v>2026</v>
      </c>
      <c r="L418995" t="s">
        <v>25</v>
      </c>
      <c r="M418995" t="s">
        <v>17</v>
      </c>
    </row>
    <row r="418996" spans="1:13" x14ac:dyDescent="0.25">
      <c r="A418996" s="6">
        <v>46142</v>
      </c>
      <c r="B418996" s="11">
        <f t="shared" si="100"/>
        <v>4</v>
      </c>
      <c r="C418996" s="11">
        <f t="shared" si="101"/>
        <v>18</v>
      </c>
      <c r="D418996" s="5" t="s">
        <v>20</v>
      </c>
      <c r="E418996" s="11" t="s">
        <v>14</v>
      </c>
      <c r="F418996" s="9" t="s">
        <v>22</v>
      </c>
      <c r="G418996">
        <v>1</v>
      </c>
      <c r="J418996" s="7">
        <v>2.9950000000000001</v>
      </c>
      <c r="K418996" s="11">
        <f t="shared" si="99"/>
        <v>2026</v>
      </c>
      <c r="L418996" t="s">
        <v>25</v>
      </c>
      <c r="M418996" t="s">
        <v>17</v>
      </c>
    </row>
    <row r="418997" spans="1:13" x14ac:dyDescent="0.25">
      <c r="A418997" s="6">
        <v>46142.291666666664</v>
      </c>
      <c r="B418997" s="11">
        <f t="shared" si="100"/>
        <v>4</v>
      </c>
      <c r="C418997" s="11">
        <f t="shared" si="101"/>
        <v>18</v>
      </c>
      <c r="D418997" s="5" t="s">
        <v>13</v>
      </c>
      <c r="E418997" s="11" t="s">
        <v>14</v>
      </c>
      <c r="F418997" s="9" t="s">
        <v>15</v>
      </c>
      <c r="G418997">
        <v>1</v>
      </c>
      <c r="J418997" s="7">
        <v>1.248</v>
      </c>
      <c r="K418997" s="11">
        <f t="shared" si="99"/>
        <v>2026</v>
      </c>
      <c r="L418997" t="s">
        <v>25</v>
      </c>
      <c r="M418997" t="s">
        <v>17</v>
      </c>
    </row>
    <row r="418998" spans="1:13" x14ac:dyDescent="0.25">
      <c r="A418998" s="6">
        <v>46142.458333333336</v>
      </c>
      <c r="B418998" s="11">
        <f t="shared" si="100"/>
        <v>4</v>
      </c>
      <c r="C418998" s="11">
        <f t="shared" si="101"/>
        <v>18</v>
      </c>
      <c r="D418998" s="5" t="s">
        <v>13</v>
      </c>
      <c r="E418998" s="11" t="s">
        <v>14</v>
      </c>
      <c r="F418998" s="9" t="s">
        <v>15</v>
      </c>
      <c r="G418998">
        <v>1</v>
      </c>
      <c r="J418998" s="7">
        <v>5.5679999999999996</v>
      </c>
      <c r="K418998" s="11">
        <f t="shared" si="99"/>
        <v>2026</v>
      </c>
      <c r="L418998" t="s">
        <v>25</v>
      </c>
      <c r="M418998" t="s">
        <v>17</v>
      </c>
    </row>
    <row r="418999" spans="1:13" x14ac:dyDescent="0.25">
      <c r="A418999" s="6">
        <v>46142.291666666664</v>
      </c>
      <c r="B418999" s="11">
        <f t="shared" si="100"/>
        <v>4</v>
      </c>
      <c r="C418999" s="11">
        <f t="shared" si="101"/>
        <v>18</v>
      </c>
      <c r="D418999" s="5" t="s">
        <v>13</v>
      </c>
      <c r="E418999" s="11" t="s">
        <v>14</v>
      </c>
      <c r="F418999" s="9" t="s">
        <v>15</v>
      </c>
      <c r="G418999">
        <v>1</v>
      </c>
      <c r="J418999" s="7">
        <v>11.129</v>
      </c>
      <c r="K418999" s="11">
        <f t="shared" si="99"/>
        <v>2026</v>
      </c>
      <c r="L418999" t="s">
        <v>25</v>
      </c>
      <c r="M418999" t="s">
        <v>17</v>
      </c>
    </row>
    <row r="419000" spans="1:13" x14ac:dyDescent="0.25">
      <c r="A419000" s="6">
        <v>46142.291666666664</v>
      </c>
      <c r="B419000" s="11">
        <f t="shared" si="100"/>
        <v>4</v>
      </c>
      <c r="C419000" s="11">
        <f t="shared" si="101"/>
        <v>18</v>
      </c>
      <c r="D419000" s="5" t="s">
        <v>13</v>
      </c>
      <c r="E419000" s="11" t="s">
        <v>14</v>
      </c>
      <c r="F419000" s="9" t="s">
        <v>15</v>
      </c>
      <c r="G419000">
        <v>1</v>
      </c>
      <c r="J419000" s="7">
        <v>7.5970000000000004</v>
      </c>
      <c r="K419000" s="11">
        <f t="shared" si="99"/>
        <v>2026</v>
      </c>
      <c r="L419000" t="s">
        <v>25</v>
      </c>
      <c r="M419000" t="s">
        <v>17</v>
      </c>
    </row>
    <row r="419001" spans="1:13" x14ac:dyDescent="0.25">
      <c r="A419001" s="6">
        <v>46142.291666666664</v>
      </c>
      <c r="B419001" s="11">
        <f t="shared" si="100"/>
        <v>4</v>
      </c>
      <c r="C419001" s="11">
        <f t="shared" si="101"/>
        <v>18</v>
      </c>
      <c r="D419001" s="5" t="s">
        <v>13</v>
      </c>
      <c r="E419001" s="11" t="s">
        <v>14</v>
      </c>
      <c r="F419001" s="9" t="s">
        <v>15</v>
      </c>
      <c r="G419001">
        <v>1</v>
      </c>
      <c r="J419001" s="7">
        <v>0.38400000000000001</v>
      </c>
      <c r="K419001" s="11">
        <f t="shared" si="99"/>
        <v>2026</v>
      </c>
      <c r="L419001" t="s">
        <v>25</v>
      </c>
      <c r="M419001" t="s">
        <v>17</v>
      </c>
    </row>
    <row r="419002" spans="1:13" x14ac:dyDescent="0.25">
      <c r="A419002" s="6">
        <v>46142.291666666664</v>
      </c>
      <c r="B419002" s="11">
        <f t="shared" si="100"/>
        <v>4</v>
      </c>
      <c r="C419002" s="11">
        <f t="shared" si="101"/>
        <v>18</v>
      </c>
      <c r="D419002" s="5" t="s">
        <v>13</v>
      </c>
      <c r="E419002" s="11" t="s">
        <v>14</v>
      </c>
      <c r="F419002" s="9" t="s">
        <v>15</v>
      </c>
      <c r="G419002">
        <v>1</v>
      </c>
      <c r="J419002" s="7">
        <v>6.8360000000000003</v>
      </c>
      <c r="K419002" s="11">
        <f t="shared" si="99"/>
        <v>2026</v>
      </c>
      <c r="L419002" t="s">
        <v>25</v>
      </c>
      <c r="M419002" t="s">
        <v>17</v>
      </c>
    </row>
    <row r="419003" spans="1:13" x14ac:dyDescent="0.25">
      <c r="A419003" s="6">
        <v>46141</v>
      </c>
      <c r="B419003" s="11">
        <f t="shared" si="100"/>
        <v>4</v>
      </c>
      <c r="C419003" s="11">
        <f t="shared" si="101"/>
        <v>18</v>
      </c>
      <c r="D419003" s="5" t="s">
        <v>18</v>
      </c>
      <c r="E419003" s="11" t="s">
        <v>14</v>
      </c>
      <c r="F419003" s="9" t="s">
        <v>15</v>
      </c>
      <c r="G419003">
        <v>1</v>
      </c>
      <c r="J419003" s="7">
        <v>0.94399999999999995</v>
      </c>
      <c r="K419003" s="11">
        <f t="shared" si="99"/>
        <v>2026</v>
      </c>
      <c r="L419003" t="s">
        <v>25</v>
      </c>
      <c r="M419003" t="s">
        <v>17</v>
      </c>
    </row>
    <row r="419004" spans="1:13" x14ac:dyDescent="0.25">
      <c r="A419004" s="6">
        <v>46141</v>
      </c>
      <c r="B419004" s="11">
        <f t="shared" si="100"/>
        <v>4</v>
      </c>
      <c r="C419004" s="11">
        <f t="shared" si="101"/>
        <v>18</v>
      </c>
      <c r="D419004" s="5" t="s">
        <v>18</v>
      </c>
      <c r="E419004" s="11" t="s">
        <v>14</v>
      </c>
      <c r="F419004" s="9" t="s">
        <v>15</v>
      </c>
      <c r="G419004">
        <v>1</v>
      </c>
      <c r="J419004" s="7">
        <v>1.1519999999999999</v>
      </c>
      <c r="K419004" s="11">
        <f t="shared" si="99"/>
        <v>2026</v>
      </c>
      <c r="L419004" t="s">
        <v>25</v>
      </c>
      <c r="M419004" t="s">
        <v>17</v>
      </c>
    </row>
    <row r="419005" spans="1:13" x14ac:dyDescent="0.25">
      <c r="A419005" s="6">
        <v>46140</v>
      </c>
      <c r="B419005" s="11">
        <f t="shared" si="100"/>
        <v>4</v>
      </c>
      <c r="C419005" s="11">
        <f t="shared" si="101"/>
        <v>18</v>
      </c>
      <c r="D419005" s="5" t="s">
        <v>18</v>
      </c>
      <c r="E419005" s="11" t="s">
        <v>14</v>
      </c>
      <c r="F419005" s="9" t="s">
        <v>22</v>
      </c>
      <c r="G419005">
        <v>1</v>
      </c>
      <c r="J419005" s="7">
        <v>8.5510000000000002</v>
      </c>
      <c r="K419005" s="11">
        <f t="shared" si="99"/>
        <v>2026</v>
      </c>
      <c r="L419005" t="s">
        <v>25</v>
      </c>
      <c r="M419005" t="s">
        <v>17</v>
      </c>
    </row>
    <row r="419006" spans="1:13" x14ac:dyDescent="0.25">
      <c r="A419006" s="6">
        <v>46141</v>
      </c>
      <c r="B419006" s="11">
        <f t="shared" si="100"/>
        <v>4</v>
      </c>
      <c r="C419006" s="11">
        <f t="shared" si="101"/>
        <v>18</v>
      </c>
      <c r="D419006" s="5" t="s">
        <v>18</v>
      </c>
      <c r="E419006" s="11" t="s">
        <v>14</v>
      </c>
      <c r="F419006" s="9" t="s">
        <v>15</v>
      </c>
      <c r="G419006">
        <v>1</v>
      </c>
      <c r="J419006" s="7">
        <v>0.84499999999999997</v>
      </c>
      <c r="K419006" s="11">
        <f t="shared" si="99"/>
        <v>2026</v>
      </c>
      <c r="L419006" t="s">
        <v>25</v>
      </c>
      <c r="M419006" t="s">
        <v>17</v>
      </c>
    </row>
    <row r="419007" spans="1:13" x14ac:dyDescent="0.25">
      <c r="A419007" s="6">
        <v>46141</v>
      </c>
      <c r="B419007" s="11">
        <f t="shared" si="100"/>
        <v>4</v>
      </c>
      <c r="C419007" s="11">
        <f t="shared" si="101"/>
        <v>18</v>
      </c>
      <c r="D419007" s="5" t="s">
        <v>13</v>
      </c>
      <c r="E419007" s="11" t="s">
        <v>14</v>
      </c>
      <c r="F419007" s="9" t="s">
        <v>15</v>
      </c>
      <c r="G419007">
        <v>1</v>
      </c>
      <c r="J419007" s="7">
        <v>0.61699999999999999</v>
      </c>
      <c r="K419007" s="11">
        <f t="shared" si="99"/>
        <v>2026</v>
      </c>
      <c r="L419007" t="s">
        <v>25</v>
      </c>
      <c r="M419007" t="s">
        <v>17</v>
      </c>
    </row>
    <row r="419008" spans="1:13" x14ac:dyDescent="0.25">
      <c r="A419008" s="6">
        <v>46140</v>
      </c>
      <c r="B419008" s="11">
        <f t="shared" si="100"/>
        <v>4</v>
      </c>
      <c r="C419008" s="11">
        <f t="shared" si="101"/>
        <v>18</v>
      </c>
      <c r="D419008" s="5" t="s">
        <v>18</v>
      </c>
      <c r="E419008" s="11" t="s">
        <v>14</v>
      </c>
      <c r="F419008" s="9" t="s">
        <v>22</v>
      </c>
      <c r="G419008">
        <v>1</v>
      </c>
      <c r="J419008" s="7">
        <v>6.6829999999999998</v>
      </c>
      <c r="K419008" s="11">
        <f t="shared" si="99"/>
        <v>2026</v>
      </c>
      <c r="L419008" t="s">
        <v>25</v>
      </c>
      <c r="M419008" t="s">
        <v>17</v>
      </c>
    </row>
    <row r="419009" spans="1:13" x14ac:dyDescent="0.25">
      <c r="A419009" s="6">
        <v>46140</v>
      </c>
      <c r="B419009" s="11">
        <f t="shared" si="100"/>
        <v>4</v>
      </c>
      <c r="C419009" s="11">
        <f t="shared" si="101"/>
        <v>18</v>
      </c>
      <c r="D419009" s="5" t="s">
        <v>18</v>
      </c>
      <c r="E419009" s="11" t="s">
        <v>14</v>
      </c>
      <c r="F419009" s="9" t="s">
        <v>22</v>
      </c>
      <c r="G419009">
        <v>1</v>
      </c>
      <c r="J419009" s="7">
        <v>1.581</v>
      </c>
      <c r="K419009" s="11">
        <f t="shared" si="99"/>
        <v>2026</v>
      </c>
      <c r="L419009" t="s">
        <v>25</v>
      </c>
      <c r="M419009" t="s">
        <v>17</v>
      </c>
    </row>
    <row r="419010" spans="1:13" x14ac:dyDescent="0.25">
      <c r="A419010" s="6">
        <v>46140</v>
      </c>
      <c r="B419010" s="11">
        <f t="shared" si="100"/>
        <v>4</v>
      </c>
      <c r="C419010" s="11">
        <f t="shared" si="101"/>
        <v>18</v>
      </c>
      <c r="D419010" s="5" t="s">
        <v>18</v>
      </c>
      <c r="E419010" s="11" t="s">
        <v>14</v>
      </c>
      <c r="F419010" s="9" t="s">
        <v>22</v>
      </c>
      <c r="G419010">
        <v>1</v>
      </c>
      <c r="J419010" s="7">
        <v>8.5860000000000003</v>
      </c>
      <c r="K419010" s="11">
        <f t="shared" si="99"/>
        <v>2026</v>
      </c>
      <c r="L419010" t="s">
        <v>25</v>
      </c>
      <c r="M419010" t="s">
        <v>17</v>
      </c>
    </row>
    <row r="419011" spans="1:13" x14ac:dyDescent="0.25">
      <c r="A419011" s="6">
        <v>46144.625</v>
      </c>
      <c r="B419011" s="11">
        <f t="shared" si="100"/>
        <v>5</v>
      </c>
      <c r="C419011" s="11">
        <f t="shared" si="101"/>
        <v>18</v>
      </c>
      <c r="D419011" s="5" t="s">
        <v>13</v>
      </c>
      <c r="E419011" s="11" t="s">
        <v>14</v>
      </c>
      <c r="F419011" s="9" t="s">
        <v>15</v>
      </c>
      <c r="G419011">
        <v>1</v>
      </c>
      <c r="J419011" s="7">
        <v>0.159</v>
      </c>
      <c r="K419011" s="11">
        <f t="shared" si="99"/>
        <v>2026</v>
      </c>
      <c r="L419011" t="s">
        <v>25</v>
      </c>
      <c r="M419011" t="s">
        <v>17</v>
      </c>
    </row>
    <row r="419012" spans="1:13" x14ac:dyDescent="0.25">
      <c r="A419012" s="6">
        <v>46144.625</v>
      </c>
      <c r="B419012" s="11">
        <f t="shared" si="100"/>
        <v>5</v>
      </c>
      <c r="C419012" s="11">
        <f t="shared" si="101"/>
        <v>18</v>
      </c>
      <c r="D419012" s="5" t="s">
        <v>13</v>
      </c>
      <c r="E419012" s="11" t="s">
        <v>14</v>
      </c>
      <c r="F419012" s="9" t="s">
        <v>15</v>
      </c>
      <c r="G419012">
        <v>1</v>
      </c>
      <c r="J419012" s="7">
        <v>0.49099999999999999</v>
      </c>
      <c r="K419012" s="11">
        <f t="shared" si="99"/>
        <v>2026</v>
      </c>
      <c r="L419012" t="s">
        <v>25</v>
      </c>
      <c r="M419012" t="s">
        <v>17</v>
      </c>
    </row>
    <row r="419013" spans="1:13" x14ac:dyDescent="0.25">
      <c r="A419013" s="6">
        <v>46141.916666666664</v>
      </c>
      <c r="B419013" s="11">
        <f t="shared" si="100"/>
        <v>4</v>
      </c>
      <c r="C419013" s="11">
        <f t="shared" si="101"/>
        <v>18</v>
      </c>
      <c r="D419013" s="5" t="s">
        <v>18</v>
      </c>
      <c r="E419013" s="11" t="s">
        <v>14</v>
      </c>
      <c r="F419013" s="9" t="s">
        <v>15</v>
      </c>
      <c r="G419013">
        <v>1</v>
      </c>
      <c r="J419013" s="7">
        <v>1.925</v>
      </c>
      <c r="K419013" s="11">
        <f t="shared" si="99"/>
        <v>2026</v>
      </c>
      <c r="L419013" t="s">
        <v>25</v>
      </c>
      <c r="M419013" t="s">
        <v>17</v>
      </c>
    </row>
    <row r="419014" spans="1:13" x14ac:dyDescent="0.25">
      <c r="A419014" s="6">
        <v>46141.916666666664</v>
      </c>
      <c r="B419014" s="11">
        <f t="shared" si="100"/>
        <v>4</v>
      </c>
      <c r="C419014" s="11">
        <f t="shared" si="101"/>
        <v>18</v>
      </c>
      <c r="D419014" s="5" t="s">
        <v>13</v>
      </c>
      <c r="E419014" s="11" t="s">
        <v>14</v>
      </c>
      <c r="F419014" s="9" t="s">
        <v>15</v>
      </c>
      <c r="G419014">
        <v>1</v>
      </c>
      <c r="J419014" s="7">
        <v>0.216</v>
      </c>
      <c r="K419014" s="11">
        <f t="shared" si="99"/>
        <v>2026</v>
      </c>
      <c r="L419014" t="s">
        <v>25</v>
      </c>
      <c r="M419014" t="s">
        <v>17</v>
      </c>
    </row>
    <row r="419015" spans="1:13" x14ac:dyDescent="0.25">
      <c r="A419015" s="6">
        <v>46141.916666666664</v>
      </c>
      <c r="B419015" s="11">
        <f t="shared" si="100"/>
        <v>4</v>
      </c>
      <c r="C419015" s="11">
        <f t="shared" si="101"/>
        <v>18</v>
      </c>
      <c r="D419015" s="5" t="s">
        <v>13</v>
      </c>
      <c r="E419015" s="11" t="s">
        <v>14</v>
      </c>
      <c r="F419015" s="9" t="s">
        <v>15</v>
      </c>
      <c r="G419015">
        <v>1</v>
      </c>
      <c r="J419015" s="7">
        <v>0.39600000000000002</v>
      </c>
      <c r="K419015" s="11">
        <f t="shared" si="99"/>
        <v>2026</v>
      </c>
      <c r="L419015" t="s">
        <v>25</v>
      </c>
      <c r="M419015" t="s">
        <v>17</v>
      </c>
    </row>
    <row r="419016" spans="1:13" x14ac:dyDescent="0.25">
      <c r="A419016" s="6">
        <v>46140</v>
      </c>
      <c r="B419016" s="11">
        <f t="shared" si="100"/>
        <v>4</v>
      </c>
      <c r="C419016" s="11">
        <f t="shared" si="101"/>
        <v>18</v>
      </c>
      <c r="D419016" s="5" t="s">
        <v>13</v>
      </c>
      <c r="E419016" s="11" t="s">
        <v>14</v>
      </c>
      <c r="F419016" s="9" t="s">
        <v>22</v>
      </c>
      <c r="G419016">
        <v>1</v>
      </c>
      <c r="J419016" s="7">
        <v>20.052</v>
      </c>
      <c r="K419016" s="11">
        <f t="shared" si="99"/>
        <v>2026</v>
      </c>
      <c r="L419016" t="s">
        <v>25</v>
      </c>
      <c r="M419016" t="s">
        <v>17</v>
      </c>
    </row>
    <row r="419017" spans="1:13" x14ac:dyDescent="0.25">
      <c r="A419017" s="6">
        <v>46144</v>
      </c>
      <c r="B419017" s="11">
        <f t="shared" si="100"/>
        <v>5</v>
      </c>
      <c r="C419017" s="11">
        <f t="shared" si="101"/>
        <v>18</v>
      </c>
      <c r="D419017" s="5" t="s">
        <v>20</v>
      </c>
      <c r="E419017" s="11" t="s">
        <v>14</v>
      </c>
      <c r="F419017" s="9" t="s">
        <v>22</v>
      </c>
      <c r="G419017">
        <v>1</v>
      </c>
      <c r="J419017" s="7">
        <v>1.736</v>
      </c>
      <c r="K419017" s="11">
        <f t="shared" si="99"/>
        <v>2026</v>
      </c>
      <c r="L419017" t="s">
        <v>25</v>
      </c>
      <c r="M419017" t="s">
        <v>17</v>
      </c>
    </row>
    <row r="419018" spans="1:13" x14ac:dyDescent="0.25">
      <c r="A419018" s="6">
        <v>46144</v>
      </c>
      <c r="B419018" s="11">
        <f t="shared" si="100"/>
        <v>5</v>
      </c>
      <c r="C419018" s="11">
        <f t="shared" si="101"/>
        <v>18</v>
      </c>
      <c r="D419018" s="5" t="s">
        <v>20</v>
      </c>
      <c r="E419018" s="11" t="s">
        <v>14</v>
      </c>
      <c r="F419018" s="9" t="s">
        <v>22</v>
      </c>
      <c r="G419018">
        <v>1</v>
      </c>
      <c r="J419018" s="7">
        <v>3.5619999999999998</v>
      </c>
      <c r="K419018" s="11">
        <f t="shared" si="99"/>
        <v>2026</v>
      </c>
      <c r="L419018" t="s">
        <v>25</v>
      </c>
      <c r="M419018" t="s">
        <v>17</v>
      </c>
    </row>
    <row r="419019" spans="1:13" x14ac:dyDescent="0.25">
      <c r="A419019" s="6">
        <v>46142.458333333336</v>
      </c>
      <c r="B419019" s="11">
        <f t="shared" si="100"/>
        <v>4</v>
      </c>
      <c r="C419019" s="11">
        <f t="shared" si="101"/>
        <v>18</v>
      </c>
      <c r="D419019" s="5" t="s">
        <v>13</v>
      </c>
      <c r="E419019" s="11" t="s">
        <v>14</v>
      </c>
      <c r="F419019" s="9" t="s">
        <v>15</v>
      </c>
      <c r="G419019">
        <v>1</v>
      </c>
      <c r="J419019" s="7">
        <v>0.23</v>
      </c>
      <c r="K419019" s="11">
        <f t="shared" si="99"/>
        <v>2026</v>
      </c>
      <c r="L419019" t="s">
        <v>25</v>
      </c>
      <c r="M419019" t="s">
        <v>17</v>
      </c>
    </row>
    <row r="419020" spans="1:13" x14ac:dyDescent="0.25">
      <c r="A419020" s="6">
        <v>46144.864583333336</v>
      </c>
      <c r="B419020" s="11">
        <f t="shared" si="100"/>
        <v>5</v>
      </c>
      <c r="C419020" s="11">
        <f t="shared" si="101"/>
        <v>18</v>
      </c>
      <c r="D419020" s="5" t="s">
        <v>13</v>
      </c>
      <c r="E419020" s="11" t="s">
        <v>14</v>
      </c>
      <c r="F419020" s="9" t="s">
        <v>15</v>
      </c>
      <c r="G419020">
        <v>1</v>
      </c>
      <c r="J419020" s="7">
        <v>0.84599999999999997</v>
      </c>
      <c r="K419020" s="11">
        <f t="shared" si="99"/>
        <v>2026</v>
      </c>
      <c r="L419020" t="s">
        <v>25</v>
      </c>
      <c r="M419020" t="s">
        <v>17</v>
      </c>
    </row>
    <row r="419021" spans="1:13" x14ac:dyDescent="0.25">
      <c r="A419021" s="6">
        <v>46144</v>
      </c>
      <c r="B419021" s="11">
        <f t="shared" si="100"/>
        <v>5</v>
      </c>
      <c r="C419021" s="11">
        <f t="shared" si="101"/>
        <v>18</v>
      </c>
      <c r="D419021" s="5" t="s">
        <v>20</v>
      </c>
      <c r="E419021" s="11" t="s">
        <v>14</v>
      </c>
      <c r="F419021" s="9" t="s">
        <v>22</v>
      </c>
      <c r="G419021">
        <v>1</v>
      </c>
      <c r="J419021" s="7">
        <v>0.86799999999999999</v>
      </c>
      <c r="K419021" s="11">
        <f t="shared" si="99"/>
        <v>2026</v>
      </c>
      <c r="L419021" t="s">
        <v>25</v>
      </c>
      <c r="M419021" t="s">
        <v>17</v>
      </c>
    </row>
    <row r="419022" spans="1:13" x14ac:dyDescent="0.25">
      <c r="A419022" s="6">
        <v>46139.791666666664</v>
      </c>
      <c r="B419022" s="11">
        <f t="shared" si="100"/>
        <v>4</v>
      </c>
      <c r="C419022" s="11">
        <f t="shared" si="101"/>
        <v>18</v>
      </c>
      <c r="D419022" s="5" t="s">
        <v>13</v>
      </c>
      <c r="E419022" s="11" t="s">
        <v>14</v>
      </c>
      <c r="F419022" s="9" t="s">
        <v>15</v>
      </c>
      <c r="G419022">
        <v>1</v>
      </c>
      <c r="J419022" s="7">
        <v>11.08</v>
      </c>
      <c r="K419022" s="11">
        <f t="shared" si="99"/>
        <v>2026</v>
      </c>
      <c r="L419022" t="s">
        <v>25</v>
      </c>
      <c r="M419022" t="s">
        <v>17</v>
      </c>
    </row>
    <row r="419023" spans="1:13" x14ac:dyDescent="0.25">
      <c r="A419023" s="6">
        <v>46139.791666666664</v>
      </c>
      <c r="B419023" s="11">
        <f t="shared" si="100"/>
        <v>4</v>
      </c>
      <c r="C419023" s="11">
        <f t="shared" si="101"/>
        <v>18</v>
      </c>
      <c r="D419023" s="5" t="s">
        <v>13</v>
      </c>
      <c r="E419023" s="11" t="s">
        <v>14</v>
      </c>
      <c r="F419023" s="9" t="s">
        <v>15</v>
      </c>
      <c r="G419023">
        <v>1</v>
      </c>
      <c r="J419023" s="7">
        <v>6.76</v>
      </c>
      <c r="K419023" s="11">
        <f t="shared" si="99"/>
        <v>2026</v>
      </c>
      <c r="L419023" t="s">
        <v>25</v>
      </c>
      <c r="M419023" t="s">
        <v>17</v>
      </c>
    </row>
    <row r="419024" spans="1:13" x14ac:dyDescent="0.25">
      <c r="A419024" s="6">
        <v>46144.864583333336</v>
      </c>
      <c r="B419024" s="11">
        <f t="shared" si="100"/>
        <v>5</v>
      </c>
      <c r="C419024" s="11">
        <f t="shared" si="101"/>
        <v>18</v>
      </c>
      <c r="D419024" s="5" t="s">
        <v>13</v>
      </c>
      <c r="E419024" s="11" t="s">
        <v>14</v>
      </c>
      <c r="F419024" s="9" t="s">
        <v>15</v>
      </c>
      <c r="G419024">
        <v>1</v>
      </c>
      <c r="J419024" s="7">
        <v>5.5629999999999997</v>
      </c>
      <c r="K419024" s="11">
        <f t="shared" si="99"/>
        <v>2026</v>
      </c>
      <c r="L419024" t="s">
        <v>25</v>
      </c>
      <c r="M419024" t="s">
        <v>17</v>
      </c>
    </row>
    <row r="419025" spans="1:13" x14ac:dyDescent="0.25">
      <c r="A419025" s="6">
        <v>46144.864583333336</v>
      </c>
      <c r="B419025" s="11">
        <f t="shared" si="100"/>
        <v>5</v>
      </c>
      <c r="C419025" s="11">
        <f t="shared" si="101"/>
        <v>18</v>
      </c>
      <c r="D419025" s="5" t="s">
        <v>13</v>
      </c>
      <c r="E419025" s="11" t="s">
        <v>14</v>
      </c>
      <c r="F419025" s="9" t="s">
        <v>15</v>
      </c>
      <c r="G419025">
        <v>1</v>
      </c>
      <c r="J419025" s="7">
        <v>2.782</v>
      </c>
      <c r="K419025" s="11">
        <f t="shared" si="99"/>
        <v>2026</v>
      </c>
      <c r="L419025" t="s">
        <v>25</v>
      </c>
      <c r="M419025" t="s">
        <v>17</v>
      </c>
    </row>
    <row r="419026" spans="1:13" x14ac:dyDescent="0.25">
      <c r="A419026" s="6">
        <v>46139.791666666664</v>
      </c>
      <c r="B419026" s="11">
        <f t="shared" si="100"/>
        <v>4</v>
      </c>
      <c r="C419026" s="11">
        <f t="shared" si="101"/>
        <v>18</v>
      </c>
      <c r="D419026" s="5" t="s">
        <v>13</v>
      </c>
      <c r="E419026" s="11" t="s">
        <v>14</v>
      </c>
      <c r="F419026" s="9" t="s">
        <v>15</v>
      </c>
      <c r="G419026">
        <v>1</v>
      </c>
      <c r="J419026" s="7">
        <v>2.7E-2</v>
      </c>
      <c r="K419026" s="11">
        <f t="shared" si="99"/>
        <v>2026</v>
      </c>
      <c r="L419026" t="s">
        <v>25</v>
      </c>
      <c r="M419026" t="s">
        <v>17</v>
      </c>
    </row>
    <row r="419027" spans="1:13" x14ac:dyDescent="0.25">
      <c r="A419027" s="6">
        <v>46144.864583333336</v>
      </c>
      <c r="B419027" s="11">
        <f t="shared" si="100"/>
        <v>5</v>
      </c>
      <c r="C419027" s="11">
        <f t="shared" si="101"/>
        <v>18</v>
      </c>
      <c r="D419027" s="5" t="s">
        <v>13</v>
      </c>
      <c r="E419027" s="11" t="s">
        <v>14</v>
      </c>
      <c r="F419027" s="9" t="s">
        <v>15</v>
      </c>
      <c r="G419027">
        <v>1</v>
      </c>
      <c r="J419027" s="7">
        <v>4.734</v>
      </c>
      <c r="K419027" s="11">
        <f t="shared" si="99"/>
        <v>2026</v>
      </c>
      <c r="L419027" t="s">
        <v>25</v>
      </c>
      <c r="M419027" t="s">
        <v>17</v>
      </c>
    </row>
    <row r="419028" spans="1:13" x14ac:dyDescent="0.25">
      <c r="A419028" s="6">
        <v>46144.864583333336</v>
      </c>
      <c r="B419028" s="11">
        <f t="shared" si="100"/>
        <v>5</v>
      </c>
      <c r="C419028" s="11">
        <f t="shared" si="101"/>
        <v>18</v>
      </c>
      <c r="D419028" s="5" t="s">
        <v>13</v>
      </c>
      <c r="E419028" s="11" t="s">
        <v>14</v>
      </c>
      <c r="F419028" s="9" t="s">
        <v>15</v>
      </c>
      <c r="G419028">
        <v>1</v>
      </c>
      <c r="J419028" s="7">
        <v>0.92700000000000005</v>
      </c>
      <c r="K419028" s="11">
        <f t="shared" si="99"/>
        <v>2026</v>
      </c>
      <c r="L419028" t="s">
        <v>25</v>
      </c>
      <c r="M419028" t="s">
        <v>17</v>
      </c>
    </row>
    <row r="419029" spans="1:13" x14ac:dyDescent="0.25">
      <c r="A419029" s="6">
        <v>46141</v>
      </c>
      <c r="B419029" s="11">
        <f t="shared" si="100"/>
        <v>4</v>
      </c>
      <c r="C419029" s="11">
        <f t="shared" si="101"/>
        <v>18</v>
      </c>
      <c r="D419029" s="5" t="s">
        <v>18</v>
      </c>
      <c r="E419029" s="11" t="s">
        <v>14</v>
      </c>
      <c r="F419029" s="9" t="s">
        <v>15</v>
      </c>
      <c r="G419029">
        <v>1</v>
      </c>
      <c r="J419029" s="7">
        <v>7.11</v>
      </c>
      <c r="K419029" s="11">
        <f t="shared" si="99"/>
        <v>2026</v>
      </c>
      <c r="L419029" t="s">
        <v>25</v>
      </c>
      <c r="M419029" t="s">
        <v>17</v>
      </c>
    </row>
    <row r="419030" spans="1:13" x14ac:dyDescent="0.25">
      <c r="A419030" s="6">
        <v>46141</v>
      </c>
      <c r="B419030" s="11">
        <f t="shared" si="100"/>
        <v>4</v>
      </c>
      <c r="C419030" s="11">
        <f t="shared" si="101"/>
        <v>18</v>
      </c>
      <c r="D419030" s="5" t="s">
        <v>13</v>
      </c>
      <c r="E419030" s="11" t="s">
        <v>14</v>
      </c>
      <c r="F419030" s="9" t="s">
        <v>15</v>
      </c>
      <c r="G419030">
        <v>1</v>
      </c>
      <c r="J419030" s="7">
        <v>3.2559999999999998</v>
      </c>
      <c r="K419030" s="11">
        <f t="shared" si="99"/>
        <v>2026</v>
      </c>
      <c r="L419030" t="s">
        <v>25</v>
      </c>
      <c r="M419030" t="s">
        <v>17</v>
      </c>
    </row>
    <row r="419031" spans="1:13" x14ac:dyDescent="0.25">
      <c r="A419031" s="6">
        <v>46140.916666666664</v>
      </c>
      <c r="B419031" s="11">
        <f t="shared" si="100"/>
        <v>4</v>
      </c>
      <c r="C419031" s="11">
        <f t="shared" si="101"/>
        <v>18</v>
      </c>
      <c r="D419031" s="5" t="s">
        <v>18</v>
      </c>
      <c r="E419031" s="11" t="s">
        <v>14</v>
      </c>
      <c r="F419031" s="9" t="s">
        <v>22</v>
      </c>
      <c r="G419031">
        <v>1</v>
      </c>
      <c r="J419031" s="7">
        <v>0.42799999999999999</v>
      </c>
      <c r="K419031" s="11">
        <f t="shared" si="99"/>
        <v>2026</v>
      </c>
      <c r="L419031" t="s">
        <v>25</v>
      </c>
      <c r="M419031" t="s">
        <v>17</v>
      </c>
    </row>
    <row r="419032" spans="1:13" x14ac:dyDescent="0.25">
      <c r="A419032" s="6">
        <v>46141</v>
      </c>
      <c r="B419032" s="11">
        <f t="shared" si="100"/>
        <v>4</v>
      </c>
      <c r="C419032" s="11">
        <f t="shared" si="101"/>
        <v>18</v>
      </c>
      <c r="D419032" s="5" t="s">
        <v>18</v>
      </c>
      <c r="E419032" s="11" t="s">
        <v>14</v>
      </c>
      <c r="F419032" s="9" t="s">
        <v>22</v>
      </c>
      <c r="G419032">
        <v>1</v>
      </c>
      <c r="J419032" s="7">
        <v>1.5069999999999999</v>
      </c>
      <c r="K419032" s="11">
        <f t="shared" si="99"/>
        <v>2026</v>
      </c>
      <c r="L419032" t="s">
        <v>25</v>
      </c>
      <c r="M419032" t="s">
        <v>17</v>
      </c>
    </row>
    <row r="419033" spans="1:13" x14ac:dyDescent="0.25">
      <c r="A419033" s="6">
        <v>46141.458333333336</v>
      </c>
      <c r="B419033" s="11">
        <f t="shared" si="100"/>
        <v>4</v>
      </c>
      <c r="C419033" s="11">
        <f t="shared" si="101"/>
        <v>18</v>
      </c>
      <c r="D419033" s="5" t="s">
        <v>13</v>
      </c>
      <c r="E419033" s="11" t="s">
        <v>14</v>
      </c>
      <c r="F419033" s="9" t="s">
        <v>22</v>
      </c>
      <c r="G419033">
        <v>1</v>
      </c>
      <c r="J419033" s="7">
        <v>1.454</v>
      </c>
      <c r="K419033" s="11">
        <f t="shared" si="99"/>
        <v>2026</v>
      </c>
      <c r="L419033" t="s">
        <v>25</v>
      </c>
      <c r="M419033" t="s">
        <v>17</v>
      </c>
    </row>
    <row r="419034" spans="1:13" x14ac:dyDescent="0.25">
      <c r="A419034" s="6">
        <v>46138</v>
      </c>
      <c r="B419034" s="11">
        <f t="shared" si="100"/>
        <v>4</v>
      </c>
      <c r="C419034" s="11">
        <f t="shared" si="101"/>
        <v>18</v>
      </c>
      <c r="D419034" s="5" t="s">
        <v>24</v>
      </c>
      <c r="E419034" s="11" t="s">
        <v>14</v>
      </c>
      <c r="F419034" s="9" t="s">
        <v>22</v>
      </c>
      <c r="G419034">
        <v>1</v>
      </c>
      <c r="J419034" s="7">
        <v>1.9390000000000001</v>
      </c>
      <c r="K419034" s="11">
        <f t="shared" si="99"/>
        <v>2026</v>
      </c>
      <c r="L419034" t="s">
        <v>25</v>
      </c>
      <c r="M419034" t="s">
        <v>17</v>
      </c>
    </row>
    <row r="419035" spans="1:13" x14ac:dyDescent="0.25">
      <c r="A419035" s="6">
        <v>46141.458333333336</v>
      </c>
      <c r="B419035" s="11">
        <f t="shared" si="100"/>
        <v>4</v>
      </c>
      <c r="C419035" s="11">
        <f t="shared" si="101"/>
        <v>18</v>
      </c>
      <c r="D419035" s="5" t="s">
        <v>18</v>
      </c>
      <c r="E419035" s="11" t="s">
        <v>14</v>
      </c>
      <c r="F419035" s="9" t="s">
        <v>15</v>
      </c>
      <c r="G419035">
        <v>1</v>
      </c>
      <c r="J419035" s="7">
        <v>5.76</v>
      </c>
      <c r="K419035" s="11">
        <f t="shared" si="99"/>
        <v>2026</v>
      </c>
      <c r="L419035" t="s">
        <v>25</v>
      </c>
      <c r="M419035" t="s">
        <v>17</v>
      </c>
    </row>
    <row r="419036" spans="1:13" x14ac:dyDescent="0.25">
      <c r="A419036" s="6">
        <v>46144.291666666664</v>
      </c>
      <c r="B419036" s="11">
        <f t="shared" si="100"/>
        <v>5</v>
      </c>
      <c r="C419036" s="11">
        <f t="shared" si="101"/>
        <v>18</v>
      </c>
      <c r="D419036" s="5" t="s">
        <v>13</v>
      </c>
      <c r="E419036" s="11" t="s">
        <v>14</v>
      </c>
      <c r="F419036" s="9" t="s">
        <v>22</v>
      </c>
      <c r="G419036">
        <v>1</v>
      </c>
      <c r="J419036" s="7">
        <v>5.6609999999999996</v>
      </c>
      <c r="K419036" s="11">
        <f t="shared" si="99"/>
        <v>2026</v>
      </c>
      <c r="L419036" t="s">
        <v>25</v>
      </c>
      <c r="M419036" t="s">
        <v>17</v>
      </c>
    </row>
    <row r="419037" spans="1:13" x14ac:dyDescent="0.25">
      <c r="A419037" s="6">
        <v>46144.490277777775</v>
      </c>
      <c r="B419037" s="11">
        <f t="shared" si="100"/>
        <v>5</v>
      </c>
      <c r="C419037" s="11">
        <f t="shared" si="101"/>
        <v>18</v>
      </c>
      <c r="D419037" s="5" t="s">
        <v>13</v>
      </c>
      <c r="E419037" s="11" t="s">
        <v>14</v>
      </c>
      <c r="F419037" s="9" t="s">
        <v>22</v>
      </c>
      <c r="G419037">
        <v>1</v>
      </c>
      <c r="J419037" s="7">
        <v>2.6</v>
      </c>
      <c r="K419037" s="11">
        <f t="shared" si="99"/>
        <v>2026</v>
      </c>
      <c r="L419037" t="s">
        <v>25</v>
      </c>
      <c r="M419037" t="s">
        <v>17</v>
      </c>
    </row>
    <row r="419038" spans="1:13" x14ac:dyDescent="0.25">
      <c r="A419038" s="6">
        <v>46140.138888888891</v>
      </c>
      <c r="B419038" s="11">
        <f t="shared" si="100"/>
        <v>4</v>
      </c>
      <c r="C419038" s="11">
        <f t="shared" si="101"/>
        <v>18</v>
      </c>
      <c r="D419038" s="5" t="s">
        <v>13</v>
      </c>
      <c r="E419038" s="11" t="s">
        <v>14</v>
      </c>
      <c r="F419038" s="9" t="s">
        <v>22</v>
      </c>
      <c r="G419038">
        <v>1</v>
      </c>
      <c r="J419038" s="7">
        <v>55.07</v>
      </c>
      <c r="K419038" s="11">
        <f t="shared" si="99"/>
        <v>2026</v>
      </c>
      <c r="L419038" t="s">
        <v>25</v>
      </c>
      <c r="M419038" t="s">
        <v>17</v>
      </c>
    </row>
    <row r="419039" spans="1:13" x14ac:dyDescent="0.25">
      <c r="A419039" s="6">
        <v>46144.160416666666</v>
      </c>
      <c r="B419039" s="11">
        <f t="shared" si="100"/>
        <v>5</v>
      </c>
      <c r="C419039" s="11">
        <f t="shared" si="101"/>
        <v>18</v>
      </c>
      <c r="D419039" s="5" t="s">
        <v>13</v>
      </c>
      <c r="E419039" s="11" t="s">
        <v>14</v>
      </c>
      <c r="F419039" s="9" t="s">
        <v>22</v>
      </c>
      <c r="G419039">
        <v>1</v>
      </c>
      <c r="J419039" s="7">
        <v>4.1539999999999999</v>
      </c>
      <c r="K419039" s="11">
        <f t="shared" si="99"/>
        <v>2026</v>
      </c>
      <c r="L419039" t="s">
        <v>25</v>
      </c>
      <c r="M419039" t="s">
        <v>17</v>
      </c>
    </row>
    <row r="419040" spans="1:13" x14ac:dyDescent="0.25">
      <c r="A419040" s="6">
        <v>46142.291666666664</v>
      </c>
      <c r="B419040" s="11">
        <f t="shared" si="100"/>
        <v>4</v>
      </c>
      <c r="C419040" s="11">
        <f t="shared" si="101"/>
        <v>18</v>
      </c>
      <c r="D419040" s="5" t="s">
        <v>13</v>
      </c>
      <c r="E419040" s="11" t="s">
        <v>14</v>
      </c>
      <c r="F419040" s="9" t="s">
        <v>15</v>
      </c>
      <c r="G419040">
        <v>1</v>
      </c>
      <c r="J419040" s="7">
        <v>1.1519999999999999</v>
      </c>
      <c r="K419040" s="11">
        <f t="shared" si="99"/>
        <v>2026</v>
      </c>
      <c r="L419040" t="s">
        <v>25</v>
      </c>
      <c r="M419040" t="s">
        <v>17</v>
      </c>
    </row>
    <row r="419041" spans="1:13" x14ac:dyDescent="0.25">
      <c r="A419041" s="6">
        <v>46142.291666666664</v>
      </c>
      <c r="B419041" s="11">
        <f t="shared" si="100"/>
        <v>4</v>
      </c>
      <c r="C419041" s="11">
        <f t="shared" si="101"/>
        <v>18</v>
      </c>
      <c r="D419041" s="5" t="s">
        <v>13</v>
      </c>
      <c r="E419041" s="11" t="s">
        <v>14</v>
      </c>
      <c r="F419041" s="9" t="s">
        <v>15</v>
      </c>
      <c r="G419041">
        <v>1</v>
      </c>
      <c r="J419041" s="7">
        <v>9.6000000000000002E-2</v>
      </c>
      <c r="K419041" s="11">
        <f t="shared" si="99"/>
        <v>2026</v>
      </c>
      <c r="L419041" t="s">
        <v>25</v>
      </c>
      <c r="M419041" t="s">
        <v>17</v>
      </c>
    </row>
    <row r="419042" spans="1:13" x14ac:dyDescent="0.25">
      <c r="A419042" s="6">
        <v>46142.291666666664</v>
      </c>
      <c r="B419042" s="11">
        <f t="shared" si="100"/>
        <v>4</v>
      </c>
      <c r="C419042" s="11">
        <f t="shared" si="101"/>
        <v>18</v>
      </c>
      <c r="D419042" s="5" t="s">
        <v>13</v>
      </c>
      <c r="E419042" s="11" t="s">
        <v>14</v>
      </c>
      <c r="F419042" s="9" t="s">
        <v>15</v>
      </c>
      <c r="G419042">
        <v>1</v>
      </c>
      <c r="J419042" s="7">
        <v>0.52900000000000003</v>
      </c>
      <c r="K419042" s="11">
        <f t="shared" si="99"/>
        <v>2026</v>
      </c>
      <c r="L419042" t="s">
        <v>25</v>
      </c>
      <c r="M419042" t="s">
        <v>17</v>
      </c>
    </row>
    <row r="419043" spans="1:13" x14ac:dyDescent="0.25">
      <c r="A419043" s="6">
        <v>46142.291666666664</v>
      </c>
      <c r="B419043" s="11">
        <f t="shared" si="100"/>
        <v>4</v>
      </c>
      <c r="C419043" s="11">
        <f t="shared" si="101"/>
        <v>18</v>
      </c>
      <c r="D419043" s="5" t="s">
        <v>13</v>
      </c>
      <c r="E419043" s="11" t="s">
        <v>14</v>
      </c>
      <c r="F419043" s="9" t="s">
        <v>15</v>
      </c>
      <c r="G419043">
        <v>1</v>
      </c>
      <c r="J419043" s="7">
        <v>1.571</v>
      </c>
      <c r="K419043" s="11">
        <f t="shared" si="99"/>
        <v>2026</v>
      </c>
      <c r="L419043" t="s">
        <v>25</v>
      </c>
      <c r="M419043" t="s">
        <v>17</v>
      </c>
    </row>
    <row r="419044" spans="1:13" x14ac:dyDescent="0.25">
      <c r="A419044" s="6">
        <v>46142.291666666664</v>
      </c>
      <c r="B419044" s="11">
        <f t="shared" si="100"/>
        <v>4</v>
      </c>
      <c r="C419044" s="11">
        <f t="shared" si="101"/>
        <v>18</v>
      </c>
      <c r="D419044" s="5" t="s">
        <v>18</v>
      </c>
      <c r="E419044" s="11" t="s">
        <v>14</v>
      </c>
      <c r="F419044" s="9" t="s">
        <v>15</v>
      </c>
      <c r="G419044">
        <v>1</v>
      </c>
      <c r="J419044" s="7">
        <v>4.32</v>
      </c>
      <c r="K419044" s="11">
        <f t="shared" si="99"/>
        <v>2026</v>
      </c>
      <c r="L419044" t="s">
        <v>25</v>
      </c>
      <c r="M419044" t="s">
        <v>17</v>
      </c>
    </row>
    <row r="419045" spans="1:13" x14ac:dyDescent="0.25">
      <c r="A419045" s="6">
        <v>46142.291666666664</v>
      </c>
      <c r="B419045" s="11">
        <f t="shared" si="100"/>
        <v>4</v>
      </c>
      <c r="C419045" s="11">
        <f t="shared" si="101"/>
        <v>18</v>
      </c>
      <c r="D419045" s="5" t="s">
        <v>13</v>
      </c>
      <c r="E419045" s="11" t="s">
        <v>14</v>
      </c>
      <c r="F419045" s="9" t="s">
        <v>15</v>
      </c>
      <c r="G419045">
        <v>1</v>
      </c>
      <c r="J419045" s="7">
        <v>3.3479999999999999</v>
      </c>
      <c r="K419045" s="11">
        <f t="shared" si="99"/>
        <v>2026</v>
      </c>
      <c r="L419045" t="s">
        <v>25</v>
      </c>
      <c r="M419045" t="s">
        <v>17</v>
      </c>
    </row>
    <row r="419046" spans="1:13" x14ac:dyDescent="0.25">
      <c r="A419046" s="6">
        <v>46142.291666666664</v>
      </c>
      <c r="B419046" s="11">
        <f t="shared" si="100"/>
        <v>4</v>
      </c>
      <c r="C419046" s="11">
        <f t="shared" si="101"/>
        <v>18</v>
      </c>
      <c r="D419046" s="5" t="s">
        <v>18</v>
      </c>
      <c r="E419046" s="11" t="s">
        <v>14</v>
      </c>
      <c r="F419046" s="9" t="s">
        <v>15</v>
      </c>
      <c r="G419046">
        <v>1</v>
      </c>
      <c r="J419046" s="7">
        <v>10.458</v>
      </c>
      <c r="K419046" s="11">
        <f t="shared" si="99"/>
        <v>2026</v>
      </c>
      <c r="L419046" t="s">
        <v>25</v>
      </c>
      <c r="M419046" t="s">
        <v>17</v>
      </c>
    </row>
    <row r="419047" spans="1:13" x14ac:dyDescent="0.25">
      <c r="A419047" s="6">
        <v>46139.041666666664</v>
      </c>
      <c r="B419047" s="11">
        <f t="shared" si="100"/>
        <v>4</v>
      </c>
      <c r="C419047" s="11">
        <f t="shared" si="101"/>
        <v>18</v>
      </c>
      <c r="D419047" s="5" t="s">
        <v>23</v>
      </c>
      <c r="E419047" s="11" t="s">
        <v>14</v>
      </c>
      <c r="F419047" s="9" t="s">
        <v>22</v>
      </c>
      <c r="G419047">
        <v>1</v>
      </c>
      <c r="J419047" s="7">
        <v>0.47799999999999998</v>
      </c>
      <c r="K419047" s="11">
        <f t="shared" si="99"/>
        <v>2026</v>
      </c>
      <c r="L419047" t="s">
        <v>25</v>
      </c>
      <c r="M419047" t="s">
        <v>17</v>
      </c>
    </row>
    <row r="419048" spans="1:13" x14ac:dyDescent="0.25">
      <c r="A419048" s="6">
        <v>46139.041666666664</v>
      </c>
      <c r="B419048" s="11">
        <f t="shared" si="100"/>
        <v>4</v>
      </c>
      <c r="C419048" s="11">
        <f t="shared" si="101"/>
        <v>18</v>
      </c>
      <c r="D419048" s="5" t="s">
        <v>23</v>
      </c>
      <c r="E419048" s="11" t="s">
        <v>14</v>
      </c>
      <c r="F419048" s="9" t="s">
        <v>22</v>
      </c>
      <c r="G419048">
        <v>1</v>
      </c>
      <c r="J419048" s="7">
        <v>1.8620000000000001</v>
      </c>
      <c r="K419048" s="11">
        <f t="shared" si="99"/>
        <v>2026</v>
      </c>
      <c r="L419048" t="s">
        <v>25</v>
      </c>
      <c r="M419048" t="s">
        <v>17</v>
      </c>
    </row>
    <row r="419049" spans="1:13" x14ac:dyDescent="0.25">
      <c r="A419049" s="6">
        <v>46142.291666666664</v>
      </c>
      <c r="B419049" s="11">
        <f t="shared" si="100"/>
        <v>4</v>
      </c>
      <c r="C419049" s="11">
        <f t="shared" si="101"/>
        <v>18</v>
      </c>
      <c r="D419049" s="5" t="s">
        <v>18</v>
      </c>
      <c r="E419049" s="11" t="s">
        <v>14</v>
      </c>
      <c r="F419049" s="9" t="s">
        <v>15</v>
      </c>
      <c r="G419049">
        <v>1</v>
      </c>
      <c r="J419049" s="7">
        <v>6.62</v>
      </c>
      <c r="K419049" s="11">
        <f t="shared" si="99"/>
        <v>2026</v>
      </c>
      <c r="L419049" t="s">
        <v>25</v>
      </c>
      <c r="M419049" t="s">
        <v>17</v>
      </c>
    </row>
    <row r="419050" spans="1:13" x14ac:dyDescent="0.25">
      <c r="A419050" s="6">
        <v>46143.791666666664</v>
      </c>
      <c r="B419050" s="11">
        <f t="shared" si="100"/>
        <v>5</v>
      </c>
      <c r="C419050" s="11">
        <f t="shared" si="101"/>
        <v>18</v>
      </c>
      <c r="D419050" s="5" t="s">
        <v>13</v>
      </c>
      <c r="E419050" s="11" t="s">
        <v>14</v>
      </c>
      <c r="F419050" s="9" t="s">
        <v>15</v>
      </c>
      <c r="G419050">
        <v>1</v>
      </c>
      <c r="J419050" s="7">
        <v>6.3760000000000003</v>
      </c>
      <c r="K419050" s="11">
        <f t="shared" si="99"/>
        <v>2026</v>
      </c>
      <c r="L419050" t="s">
        <v>25</v>
      </c>
      <c r="M419050" t="s">
        <v>17</v>
      </c>
    </row>
    <row r="419051" spans="1:13" x14ac:dyDescent="0.25">
      <c r="A419051" s="6">
        <v>46139.791666666664</v>
      </c>
      <c r="B419051" s="11">
        <f t="shared" ref="B419051:B419053" si="102">MONTH(A419051)</f>
        <v>4</v>
      </c>
      <c r="C419051" s="11">
        <f t="shared" ref="C419051:C419053" si="103">WEEKNUM(A419051)</f>
        <v>18</v>
      </c>
      <c r="D419051" s="5" t="s">
        <v>18</v>
      </c>
      <c r="E419051" s="11" t="s">
        <v>14</v>
      </c>
      <c r="F419051" s="9" t="s">
        <v>15</v>
      </c>
      <c r="G419051">
        <v>1</v>
      </c>
      <c r="J419051" s="7">
        <v>4.7370000000000001</v>
      </c>
      <c r="K419051" s="11">
        <f t="shared" si="99"/>
        <v>2026</v>
      </c>
      <c r="L419051" t="s">
        <v>25</v>
      </c>
      <c r="M419051" t="s">
        <v>17</v>
      </c>
    </row>
    <row r="419052" spans="1:13" x14ac:dyDescent="0.25">
      <c r="A419052" s="6">
        <v>46143.791666666664</v>
      </c>
      <c r="B419052" s="11">
        <f t="shared" si="102"/>
        <v>5</v>
      </c>
      <c r="C419052" s="11">
        <f t="shared" si="103"/>
        <v>18</v>
      </c>
      <c r="D419052" s="5" t="s">
        <v>13</v>
      </c>
      <c r="E419052" s="11" t="s">
        <v>14</v>
      </c>
      <c r="F419052" s="9" t="s">
        <v>15</v>
      </c>
      <c r="G419052">
        <v>1</v>
      </c>
      <c r="J419052" s="7">
        <v>7.9539999999999997</v>
      </c>
      <c r="K419052" s="11">
        <f t="shared" ref="K419052:K419115" si="104">YEAR(A419052)</f>
        <v>2026</v>
      </c>
      <c r="L419052" t="s">
        <v>25</v>
      </c>
      <c r="M419052" t="s">
        <v>17</v>
      </c>
    </row>
    <row r="419053" spans="1:13" x14ac:dyDescent="0.25">
      <c r="A419053" s="6">
        <v>46143.791666666664</v>
      </c>
      <c r="B419053" s="11">
        <f t="shared" si="102"/>
        <v>5</v>
      </c>
      <c r="C419053" s="11">
        <f t="shared" si="103"/>
        <v>18</v>
      </c>
      <c r="D419053" s="5" t="s">
        <v>13</v>
      </c>
      <c r="E419053" s="11" t="s">
        <v>14</v>
      </c>
      <c r="F419053" s="9" t="s">
        <v>15</v>
      </c>
      <c r="G419053">
        <v>1</v>
      </c>
      <c r="J419053" s="7">
        <v>6.2</v>
      </c>
      <c r="K419053" s="11">
        <f t="shared" si="104"/>
        <v>2026</v>
      </c>
      <c r="L419053" t="s">
        <v>25</v>
      </c>
      <c r="M419053" t="s">
        <v>17</v>
      </c>
    </row>
    <row r="419054" spans="1:13" x14ac:dyDescent="0.25">
      <c r="A419054" s="6">
        <v>46140.658333333333</v>
      </c>
      <c r="B419054" s="11">
        <f t="shared" ref="B419054:B419114" si="105">MONTH(A419054)</f>
        <v>4</v>
      </c>
      <c r="C419054" s="11">
        <f t="shared" ref="C419054:C419114" si="106">WEEKNUM(A419054)</f>
        <v>18</v>
      </c>
      <c r="D419054" s="5" t="s">
        <v>24</v>
      </c>
      <c r="E419054" s="11" t="s">
        <v>14</v>
      </c>
      <c r="F419054" s="9" t="s">
        <v>22</v>
      </c>
      <c r="G419054">
        <v>1</v>
      </c>
      <c r="J419054" s="7">
        <v>2.29</v>
      </c>
      <c r="K419054" s="11">
        <f t="shared" si="104"/>
        <v>2026</v>
      </c>
      <c r="L419054" t="s">
        <v>25</v>
      </c>
      <c r="M419054" t="s">
        <v>17</v>
      </c>
    </row>
    <row r="419055" spans="1:13" x14ac:dyDescent="0.25">
      <c r="A419055" s="6">
        <v>46140</v>
      </c>
      <c r="B419055" s="11">
        <f t="shared" si="105"/>
        <v>4</v>
      </c>
      <c r="C419055" s="11">
        <f t="shared" si="106"/>
        <v>18</v>
      </c>
      <c r="D419055" s="5" t="s">
        <v>24</v>
      </c>
      <c r="E419055" s="11" t="s">
        <v>14</v>
      </c>
      <c r="F419055" s="9" t="s">
        <v>22</v>
      </c>
      <c r="G419055">
        <v>1</v>
      </c>
      <c r="J419055" s="7">
        <v>2.29</v>
      </c>
      <c r="K419055" s="11">
        <f t="shared" si="104"/>
        <v>2026</v>
      </c>
      <c r="L419055" t="s">
        <v>25</v>
      </c>
      <c r="M419055" t="s">
        <v>17</v>
      </c>
    </row>
    <row r="419056" spans="1:13" x14ac:dyDescent="0.25">
      <c r="A419056" s="6">
        <v>46141</v>
      </c>
      <c r="B419056" s="11">
        <f t="shared" si="105"/>
        <v>4</v>
      </c>
      <c r="C419056" s="11">
        <f t="shared" si="106"/>
        <v>18</v>
      </c>
      <c r="D419056" s="5" t="s">
        <v>24</v>
      </c>
      <c r="E419056" s="11" t="s">
        <v>14</v>
      </c>
      <c r="F419056" s="9" t="s">
        <v>22</v>
      </c>
      <c r="G419056">
        <v>1</v>
      </c>
      <c r="J419056" s="7">
        <v>1.59</v>
      </c>
      <c r="K419056" s="11">
        <f t="shared" si="104"/>
        <v>2026</v>
      </c>
      <c r="L419056" t="s">
        <v>25</v>
      </c>
      <c r="M419056" t="s">
        <v>17</v>
      </c>
    </row>
    <row r="419057" spans="1:13" x14ac:dyDescent="0.25">
      <c r="A419057" s="6">
        <v>46141</v>
      </c>
      <c r="B419057" s="11">
        <f t="shared" si="105"/>
        <v>4</v>
      </c>
      <c r="C419057" s="11">
        <f t="shared" si="106"/>
        <v>18</v>
      </c>
      <c r="D419057" s="5" t="s">
        <v>24</v>
      </c>
      <c r="E419057" s="11" t="s">
        <v>14</v>
      </c>
      <c r="F419057" s="9" t="s">
        <v>22</v>
      </c>
      <c r="G419057">
        <v>1</v>
      </c>
      <c r="J419057" s="7">
        <v>5.82</v>
      </c>
      <c r="K419057" s="11">
        <f t="shared" si="104"/>
        <v>2026</v>
      </c>
      <c r="L419057" t="s">
        <v>25</v>
      </c>
      <c r="M419057" t="s">
        <v>17</v>
      </c>
    </row>
    <row r="419058" spans="1:13" x14ac:dyDescent="0.25">
      <c r="A419058" s="6">
        <v>46139.791666666664</v>
      </c>
      <c r="B419058" s="11">
        <f t="shared" si="105"/>
        <v>4</v>
      </c>
      <c r="C419058" s="11">
        <f t="shared" si="106"/>
        <v>18</v>
      </c>
      <c r="D419058" s="5" t="s">
        <v>13</v>
      </c>
      <c r="E419058" s="11" t="s">
        <v>14</v>
      </c>
      <c r="F419058" s="9" t="s">
        <v>15</v>
      </c>
      <c r="G419058">
        <v>1</v>
      </c>
      <c r="J419058" s="7">
        <v>0.37</v>
      </c>
      <c r="K419058" s="11">
        <f t="shared" si="104"/>
        <v>2026</v>
      </c>
      <c r="L419058" t="s">
        <v>25</v>
      </c>
      <c r="M419058" t="s">
        <v>17</v>
      </c>
    </row>
    <row r="419059" spans="1:13" x14ac:dyDescent="0.25">
      <c r="A419059" s="6">
        <v>46139.791666666664</v>
      </c>
      <c r="B419059" s="11">
        <f t="shared" si="105"/>
        <v>4</v>
      </c>
      <c r="C419059" s="11">
        <f t="shared" si="106"/>
        <v>18</v>
      </c>
      <c r="D419059" s="5" t="s">
        <v>13</v>
      </c>
      <c r="E419059" s="11" t="s">
        <v>14</v>
      </c>
      <c r="F419059" s="9" t="s">
        <v>15</v>
      </c>
      <c r="G419059">
        <v>1</v>
      </c>
      <c r="J419059" s="7">
        <v>15.56</v>
      </c>
      <c r="K419059" s="11">
        <f t="shared" si="104"/>
        <v>2026</v>
      </c>
      <c r="L419059" t="s">
        <v>25</v>
      </c>
      <c r="M419059" t="s">
        <v>17</v>
      </c>
    </row>
    <row r="419060" spans="1:13" x14ac:dyDescent="0.25">
      <c r="A419060" s="6">
        <v>46139.791666666664</v>
      </c>
      <c r="B419060" s="11">
        <f t="shared" si="105"/>
        <v>4</v>
      </c>
      <c r="C419060" s="11">
        <f t="shared" si="106"/>
        <v>18</v>
      </c>
      <c r="D419060" s="5" t="s">
        <v>13</v>
      </c>
      <c r="E419060" s="11" t="s">
        <v>14</v>
      </c>
      <c r="F419060" s="9" t="s">
        <v>15</v>
      </c>
      <c r="G419060">
        <v>1</v>
      </c>
      <c r="J419060" s="7">
        <v>4.1399999999999997</v>
      </c>
      <c r="K419060" s="11">
        <f t="shared" si="104"/>
        <v>2026</v>
      </c>
      <c r="L419060" t="s">
        <v>25</v>
      </c>
      <c r="M419060" t="s">
        <v>17</v>
      </c>
    </row>
    <row r="419061" spans="1:13" x14ac:dyDescent="0.25">
      <c r="A419061" s="6">
        <v>46139.791666666664</v>
      </c>
      <c r="B419061" s="11">
        <f t="shared" si="105"/>
        <v>4</v>
      </c>
      <c r="C419061" s="11">
        <f t="shared" si="106"/>
        <v>18</v>
      </c>
      <c r="D419061" s="5" t="s">
        <v>13</v>
      </c>
      <c r="E419061" s="11" t="s">
        <v>14</v>
      </c>
      <c r="F419061" s="9" t="s">
        <v>15</v>
      </c>
      <c r="G419061">
        <v>1</v>
      </c>
      <c r="J419061" s="7">
        <v>0.17</v>
      </c>
      <c r="K419061" s="11">
        <f t="shared" si="104"/>
        <v>2026</v>
      </c>
      <c r="L419061" t="s">
        <v>25</v>
      </c>
      <c r="M419061" t="s">
        <v>17</v>
      </c>
    </row>
    <row r="419062" spans="1:13" x14ac:dyDescent="0.25">
      <c r="A419062" s="6">
        <v>46142.291666666664</v>
      </c>
      <c r="B419062" s="11">
        <f t="shared" si="105"/>
        <v>4</v>
      </c>
      <c r="C419062" s="11">
        <f t="shared" si="106"/>
        <v>18</v>
      </c>
      <c r="D419062" s="5" t="s">
        <v>13</v>
      </c>
      <c r="E419062" s="11" t="s">
        <v>14</v>
      </c>
      <c r="F419062" s="9" t="s">
        <v>15</v>
      </c>
      <c r="G419062">
        <v>1</v>
      </c>
      <c r="J419062" s="7">
        <v>1.0940000000000001</v>
      </c>
      <c r="K419062" s="11">
        <f t="shared" si="104"/>
        <v>2026</v>
      </c>
      <c r="L419062" t="s">
        <v>25</v>
      </c>
      <c r="M419062" t="s">
        <v>17</v>
      </c>
    </row>
    <row r="419063" spans="1:13" x14ac:dyDescent="0.25">
      <c r="A419063" s="6">
        <v>46139</v>
      </c>
      <c r="B419063" s="11">
        <f t="shared" si="105"/>
        <v>4</v>
      </c>
      <c r="C419063" s="11">
        <f t="shared" si="106"/>
        <v>18</v>
      </c>
      <c r="D419063" s="5" t="s">
        <v>19</v>
      </c>
      <c r="E419063" s="11" t="s">
        <v>14</v>
      </c>
      <c r="F419063" s="9" t="s">
        <v>22</v>
      </c>
      <c r="G419063">
        <v>1</v>
      </c>
      <c r="J419063" s="7">
        <v>2.4260000000000002</v>
      </c>
      <c r="K419063" s="11">
        <f t="shared" si="104"/>
        <v>2026</v>
      </c>
      <c r="L419063" t="s">
        <v>25</v>
      </c>
      <c r="M419063" t="s">
        <v>17</v>
      </c>
    </row>
    <row r="419064" spans="1:13" x14ac:dyDescent="0.25">
      <c r="A419064" s="6">
        <v>46141</v>
      </c>
      <c r="B419064" s="11">
        <f t="shared" si="105"/>
        <v>4</v>
      </c>
      <c r="C419064" s="11">
        <f t="shared" si="106"/>
        <v>18</v>
      </c>
      <c r="D419064" s="5" t="s">
        <v>21</v>
      </c>
      <c r="E419064" s="11" t="s">
        <v>14</v>
      </c>
      <c r="F419064" s="9" t="s">
        <v>15</v>
      </c>
      <c r="G419064">
        <v>1</v>
      </c>
      <c r="J419064" s="7">
        <v>0.81299999999999994</v>
      </c>
      <c r="K419064" s="11">
        <f t="shared" si="104"/>
        <v>2026</v>
      </c>
      <c r="L419064" t="s">
        <v>25</v>
      </c>
      <c r="M419064" t="s">
        <v>17</v>
      </c>
    </row>
    <row r="419065" spans="1:13" x14ac:dyDescent="0.25">
      <c r="A419065" s="6">
        <v>46140.916666666664</v>
      </c>
      <c r="B419065" s="11">
        <f t="shared" si="105"/>
        <v>4</v>
      </c>
      <c r="C419065" s="11">
        <f t="shared" si="106"/>
        <v>18</v>
      </c>
      <c r="D419065" s="5" t="s">
        <v>21</v>
      </c>
      <c r="E419065" s="11" t="s">
        <v>14</v>
      </c>
      <c r="F419065" s="9" t="s">
        <v>15</v>
      </c>
      <c r="G419065">
        <v>1</v>
      </c>
      <c r="J419065" s="7">
        <v>13.199</v>
      </c>
      <c r="K419065" s="11">
        <f t="shared" si="104"/>
        <v>2026</v>
      </c>
      <c r="L419065" t="s">
        <v>25</v>
      </c>
      <c r="M419065" t="s">
        <v>17</v>
      </c>
    </row>
    <row r="419066" spans="1:13" x14ac:dyDescent="0.25">
      <c r="A419066" s="6">
        <v>46141.916666666664</v>
      </c>
      <c r="B419066" s="11">
        <f t="shared" si="105"/>
        <v>4</v>
      </c>
      <c r="C419066" s="11">
        <f t="shared" si="106"/>
        <v>18</v>
      </c>
      <c r="D419066" s="5" t="s">
        <v>21</v>
      </c>
      <c r="E419066" s="11" t="s">
        <v>14</v>
      </c>
      <c r="F419066" s="9" t="s">
        <v>15</v>
      </c>
      <c r="G419066">
        <v>1</v>
      </c>
      <c r="J419066" s="7">
        <v>2.31</v>
      </c>
      <c r="K419066" s="11">
        <f t="shared" si="104"/>
        <v>2026</v>
      </c>
      <c r="L419066" t="s">
        <v>25</v>
      </c>
      <c r="M419066" t="s">
        <v>17</v>
      </c>
    </row>
    <row r="419067" spans="1:13" x14ac:dyDescent="0.25">
      <c r="A419067" s="6">
        <v>46141.916666666664</v>
      </c>
      <c r="B419067" s="11">
        <f t="shared" si="105"/>
        <v>4</v>
      </c>
      <c r="C419067" s="11">
        <f t="shared" si="106"/>
        <v>18</v>
      </c>
      <c r="D419067" s="5" t="s">
        <v>21</v>
      </c>
      <c r="E419067" s="11" t="s">
        <v>14</v>
      </c>
      <c r="F419067" s="9" t="s">
        <v>15</v>
      </c>
      <c r="G419067">
        <v>1</v>
      </c>
      <c r="J419067" s="7">
        <v>9.5960000000000001</v>
      </c>
      <c r="K419067" s="11">
        <f t="shared" si="104"/>
        <v>2026</v>
      </c>
      <c r="L419067" t="s">
        <v>25</v>
      </c>
      <c r="M419067" t="s">
        <v>17</v>
      </c>
    </row>
    <row r="419068" spans="1:13" x14ac:dyDescent="0.25">
      <c r="A419068" s="6">
        <v>46139.979166666664</v>
      </c>
      <c r="B419068" s="11">
        <f t="shared" si="105"/>
        <v>4</v>
      </c>
      <c r="C419068" s="11">
        <f t="shared" si="106"/>
        <v>18</v>
      </c>
      <c r="D419068" s="5" t="s">
        <v>19</v>
      </c>
      <c r="E419068" s="11" t="s">
        <v>14</v>
      </c>
      <c r="F419068" s="9" t="s">
        <v>22</v>
      </c>
      <c r="G419068">
        <v>1</v>
      </c>
      <c r="J419068" s="7">
        <v>5.6369999999999996</v>
      </c>
      <c r="K419068" s="11">
        <f t="shared" si="104"/>
        <v>2026</v>
      </c>
      <c r="L419068" t="s">
        <v>25</v>
      </c>
      <c r="M419068" t="s">
        <v>17</v>
      </c>
    </row>
    <row r="419069" spans="1:13" x14ac:dyDescent="0.25">
      <c r="A419069" s="6">
        <v>46140</v>
      </c>
      <c r="B419069" s="11">
        <f t="shared" si="105"/>
        <v>4</v>
      </c>
      <c r="C419069" s="11">
        <f t="shared" si="106"/>
        <v>18</v>
      </c>
      <c r="D419069" s="5" t="s">
        <v>13</v>
      </c>
      <c r="E419069" s="11" t="s">
        <v>14</v>
      </c>
      <c r="F419069" s="9" t="s">
        <v>22</v>
      </c>
      <c r="G419069">
        <v>1</v>
      </c>
      <c r="J419069" s="7">
        <v>0.46700000000000003</v>
      </c>
      <c r="K419069" s="11">
        <f t="shared" si="104"/>
        <v>2026</v>
      </c>
      <c r="L419069" t="s">
        <v>25</v>
      </c>
      <c r="M419069" t="s">
        <v>17</v>
      </c>
    </row>
    <row r="419070" spans="1:13" x14ac:dyDescent="0.25">
      <c r="A419070" s="6">
        <v>46140.916666666664</v>
      </c>
      <c r="B419070" s="11">
        <f t="shared" si="105"/>
        <v>4</v>
      </c>
      <c r="C419070" s="11">
        <f t="shared" si="106"/>
        <v>18</v>
      </c>
      <c r="D419070" s="5" t="s">
        <v>13</v>
      </c>
      <c r="E419070" s="11" t="s">
        <v>14</v>
      </c>
      <c r="F419070" s="9" t="s">
        <v>15</v>
      </c>
      <c r="G419070">
        <v>1</v>
      </c>
      <c r="J419070" s="7">
        <v>2.7549999999999999</v>
      </c>
      <c r="K419070" s="11">
        <f t="shared" si="104"/>
        <v>2026</v>
      </c>
      <c r="L419070" t="s">
        <v>25</v>
      </c>
      <c r="M419070" t="s">
        <v>17</v>
      </c>
    </row>
    <row r="419071" spans="1:13" x14ac:dyDescent="0.25">
      <c r="A419071" s="6">
        <v>46140.916666666664</v>
      </c>
      <c r="B419071" s="11">
        <f t="shared" si="105"/>
        <v>4</v>
      </c>
      <c r="C419071" s="11">
        <f t="shared" si="106"/>
        <v>18</v>
      </c>
      <c r="D419071" s="5" t="s">
        <v>13</v>
      </c>
      <c r="E419071" s="11" t="s">
        <v>14</v>
      </c>
      <c r="F419071" s="9" t="s">
        <v>15</v>
      </c>
      <c r="G419071">
        <v>1</v>
      </c>
      <c r="J419071" s="7">
        <v>2.0579999999999998</v>
      </c>
      <c r="K419071" s="11">
        <f t="shared" si="104"/>
        <v>2026</v>
      </c>
      <c r="L419071" t="s">
        <v>25</v>
      </c>
      <c r="M419071" t="s">
        <v>17</v>
      </c>
    </row>
    <row r="419072" spans="1:13" x14ac:dyDescent="0.25">
      <c r="A419072" s="6">
        <v>46140.916666666664</v>
      </c>
      <c r="B419072" s="11">
        <f t="shared" si="105"/>
        <v>4</v>
      </c>
      <c r="C419072" s="11">
        <f t="shared" si="106"/>
        <v>18</v>
      </c>
      <c r="D419072" s="5" t="s">
        <v>13</v>
      </c>
      <c r="E419072" s="11" t="s">
        <v>14</v>
      </c>
      <c r="F419072" s="9" t="s">
        <v>15</v>
      </c>
      <c r="G419072">
        <v>1</v>
      </c>
      <c r="J419072" s="7">
        <v>1.016</v>
      </c>
      <c r="K419072" s="11">
        <f t="shared" si="104"/>
        <v>2026</v>
      </c>
      <c r="L419072" t="s">
        <v>25</v>
      </c>
      <c r="M419072" t="s">
        <v>17</v>
      </c>
    </row>
    <row r="419073" spans="1:13" x14ac:dyDescent="0.25">
      <c r="A419073" s="6">
        <v>46140.916666666664</v>
      </c>
      <c r="B419073" s="11">
        <f t="shared" si="105"/>
        <v>4</v>
      </c>
      <c r="C419073" s="11">
        <f t="shared" si="106"/>
        <v>18</v>
      </c>
      <c r="D419073" s="5" t="s">
        <v>13</v>
      </c>
      <c r="E419073" s="11" t="s">
        <v>14</v>
      </c>
      <c r="F419073" s="9" t="s">
        <v>15</v>
      </c>
      <c r="G419073">
        <v>1</v>
      </c>
      <c r="J419073" s="7">
        <v>0.69299999999999995</v>
      </c>
      <c r="K419073" s="11">
        <f t="shared" si="104"/>
        <v>2026</v>
      </c>
      <c r="L419073" t="s">
        <v>25</v>
      </c>
      <c r="M419073" t="s">
        <v>17</v>
      </c>
    </row>
    <row r="419074" spans="1:13" x14ac:dyDescent="0.25">
      <c r="A419074" s="6">
        <v>46140</v>
      </c>
      <c r="B419074" s="11">
        <f t="shared" si="105"/>
        <v>4</v>
      </c>
      <c r="C419074" s="11">
        <f t="shared" si="106"/>
        <v>18</v>
      </c>
      <c r="D419074" s="5" t="s">
        <v>13</v>
      </c>
      <c r="E419074" s="11" t="s">
        <v>14</v>
      </c>
      <c r="F419074" s="9" t="s">
        <v>22</v>
      </c>
      <c r="G419074">
        <v>1</v>
      </c>
      <c r="J419074" s="7">
        <v>0.67800000000000005</v>
      </c>
      <c r="K419074" s="11">
        <f t="shared" si="104"/>
        <v>2026</v>
      </c>
      <c r="L419074" t="s">
        <v>25</v>
      </c>
      <c r="M419074" t="s">
        <v>17</v>
      </c>
    </row>
    <row r="419075" spans="1:13" x14ac:dyDescent="0.25">
      <c r="A419075" s="6">
        <v>46140.916666666664</v>
      </c>
      <c r="B419075" s="11">
        <f t="shared" si="105"/>
        <v>4</v>
      </c>
      <c r="C419075" s="11">
        <f t="shared" si="106"/>
        <v>18</v>
      </c>
      <c r="D419075" s="5" t="s">
        <v>13</v>
      </c>
      <c r="E419075" s="11" t="s">
        <v>14</v>
      </c>
      <c r="F419075" s="9" t="s">
        <v>15</v>
      </c>
      <c r="G419075">
        <v>1</v>
      </c>
      <c r="J419075" s="7">
        <v>3.141</v>
      </c>
      <c r="K419075" s="11">
        <f t="shared" si="104"/>
        <v>2026</v>
      </c>
      <c r="L419075" t="s">
        <v>25</v>
      </c>
      <c r="M419075" t="s">
        <v>17</v>
      </c>
    </row>
    <row r="419076" spans="1:13" x14ac:dyDescent="0.25">
      <c r="A419076" s="6">
        <v>46140.916666666664</v>
      </c>
      <c r="B419076" s="11">
        <f t="shared" si="105"/>
        <v>4</v>
      </c>
      <c r="C419076" s="11">
        <f t="shared" si="106"/>
        <v>18</v>
      </c>
      <c r="D419076" s="5" t="s">
        <v>13</v>
      </c>
      <c r="E419076" s="11" t="s">
        <v>14</v>
      </c>
      <c r="F419076" s="9" t="s">
        <v>15</v>
      </c>
      <c r="G419076">
        <v>1</v>
      </c>
      <c r="J419076" s="7">
        <v>1.17</v>
      </c>
      <c r="K419076" s="11">
        <f t="shared" si="104"/>
        <v>2026</v>
      </c>
      <c r="L419076" t="s">
        <v>25</v>
      </c>
      <c r="M419076" t="s">
        <v>17</v>
      </c>
    </row>
    <row r="419077" spans="1:13" x14ac:dyDescent="0.25">
      <c r="A419077" s="6">
        <v>46143</v>
      </c>
      <c r="B419077" s="11">
        <f t="shared" si="105"/>
        <v>5</v>
      </c>
      <c r="C419077" s="11">
        <f t="shared" si="106"/>
        <v>18</v>
      </c>
      <c r="D419077" s="5" t="s">
        <v>13</v>
      </c>
      <c r="E419077" s="11" t="s">
        <v>14</v>
      </c>
      <c r="F419077" s="9" t="s">
        <v>22</v>
      </c>
      <c r="G419077">
        <v>1</v>
      </c>
      <c r="J419077" s="7">
        <v>3.3</v>
      </c>
      <c r="K419077" s="11">
        <f t="shared" si="104"/>
        <v>2026</v>
      </c>
      <c r="L419077" t="s">
        <v>25</v>
      </c>
      <c r="M419077" t="s">
        <v>17</v>
      </c>
    </row>
    <row r="419078" spans="1:13" x14ac:dyDescent="0.25">
      <c r="A419078" s="6">
        <v>46141.041666666664</v>
      </c>
      <c r="B419078" s="11">
        <f t="shared" si="105"/>
        <v>4</v>
      </c>
      <c r="C419078" s="11">
        <f t="shared" si="106"/>
        <v>18</v>
      </c>
      <c r="D419078" s="5" t="s">
        <v>18</v>
      </c>
      <c r="E419078" s="11" t="s">
        <v>14</v>
      </c>
      <c r="F419078" s="9" t="s">
        <v>22</v>
      </c>
      <c r="G419078">
        <v>1</v>
      </c>
      <c r="J419078" s="7">
        <v>6.0880000000000001</v>
      </c>
      <c r="K419078" s="11">
        <f t="shared" si="104"/>
        <v>2026</v>
      </c>
      <c r="L419078" t="s">
        <v>25</v>
      </c>
      <c r="M419078" t="s">
        <v>17</v>
      </c>
    </row>
    <row r="419079" spans="1:13" x14ac:dyDescent="0.25">
      <c r="A419079" s="6">
        <v>46140</v>
      </c>
      <c r="B419079" s="11">
        <f t="shared" si="105"/>
        <v>4</v>
      </c>
      <c r="C419079" s="11">
        <f t="shared" si="106"/>
        <v>18</v>
      </c>
      <c r="D419079" s="5" t="s">
        <v>18</v>
      </c>
      <c r="E419079" s="11" t="s">
        <v>14</v>
      </c>
      <c r="F419079" s="9" t="s">
        <v>22</v>
      </c>
      <c r="G419079">
        <v>1</v>
      </c>
      <c r="J419079" s="7">
        <v>0.52700000000000002</v>
      </c>
      <c r="K419079" s="11">
        <f t="shared" si="104"/>
        <v>2026</v>
      </c>
      <c r="L419079" t="s">
        <v>25</v>
      </c>
      <c r="M419079" t="s">
        <v>17</v>
      </c>
    </row>
    <row r="419080" spans="1:13" x14ac:dyDescent="0.25">
      <c r="A419080" s="6">
        <v>46143.791666666664</v>
      </c>
      <c r="B419080" s="11">
        <f t="shared" si="105"/>
        <v>5</v>
      </c>
      <c r="C419080" s="11">
        <f t="shared" si="106"/>
        <v>18</v>
      </c>
      <c r="D419080" s="5" t="s">
        <v>13</v>
      </c>
      <c r="E419080" s="11" t="s">
        <v>14</v>
      </c>
      <c r="F419080" s="9" t="s">
        <v>15</v>
      </c>
      <c r="G419080">
        <v>1</v>
      </c>
      <c r="J419080" s="7">
        <v>9.7200000000000006</v>
      </c>
      <c r="K419080" s="11">
        <f t="shared" si="104"/>
        <v>2026</v>
      </c>
      <c r="L419080" t="s">
        <v>25</v>
      </c>
      <c r="M419080" t="s">
        <v>17</v>
      </c>
    </row>
    <row r="419081" spans="1:13" x14ac:dyDescent="0.25">
      <c r="A419081" s="6">
        <v>46141.458333333336</v>
      </c>
      <c r="B419081" s="11">
        <f t="shared" si="105"/>
        <v>4</v>
      </c>
      <c r="C419081" s="11">
        <f t="shared" si="106"/>
        <v>18</v>
      </c>
      <c r="D419081" s="5" t="s">
        <v>13</v>
      </c>
      <c r="E419081" s="11" t="s">
        <v>14</v>
      </c>
      <c r="F419081" s="9" t="s">
        <v>15</v>
      </c>
      <c r="G419081">
        <v>1</v>
      </c>
      <c r="J419081" s="7">
        <v>5.28</v>
      </c>
      <c r="K419081" s="11">
        <f t="shared" si="104"/>
        <v>2026</v>
      </c>
      <c r="L419081" t="s">
        <v>25</v>
      </c>
      <c r="M419081" t="s">
        <v>17</v>
      </c>
    </row>
    <row r="419082" spans="1:13" x14ac:dyDescent="0.25">
      <c r="A419082" s="6">
        <v>46141.458333333336</v>
      </c>
      <c r="B419082" s="11">
        <f t="shared" si="105"/>
        <v>4</v>
      </c>
      <c r="C419082" s="11">
        <f t="shared" si="106"/>
        <v>18</v>
      </c>
      <c r="D419082" s="5" t="s">
        <v>13</v>
      </c>
      <c r="E419082" s="11" t="s">
        <v>14</v>
      </c>
      <c r="F419082" s="9" t="s">
        <v>15</v>
      </c>
      <c r="G419082">
        <v>1</v>
      </c>
      <c r="J419082" s="7">
        <v>18.768000000000001</v>
      </c>
      <c r="K419082" s="11">
        <f t="shared" si="104"/>
        <v>2026</v>
      </c>
      <c r="L419082" t="s">
        <v>25</v>
      </c>
      <c r="M419082" t="s">
        <v>17</v>
      </c>
    </row>
    <row r="419083" spans="1:13" x14ac:dyDescent="0.25">
      <c r="A419083" s="6">
        <v>46141.458333333336</v>
      </c>
      <c r="B419083" s="11">
        <f t="shared" si="105"/>
        <v>4</v>
      </c>
      <c r="C419083" s="11">
        <f t="shared" si="106"/>
        <v>18</v>
      </c>
      <c r="D419083" s="5" t="s">
        <v>13</v>
      </c>
      <c r="E419083" s="11" t="s">
        <v>14</v>
      </c>
      <c r="F419083" s="9" t="s">
        <v>15</v>
      </c>
      <c r="G419083">
        <v>1</v>
      </c>
      <c r="J419083" s="7">
        <v>27.384</v>
      </c>
      <c r="K419083" s="11">
        <f t="shared" si="104"/>
        <v>2026</v>
      </c>
      <c r="L419083" t="s">
        <v>25</v>
      </c>
      <c r="M419083" t="s">
        <v>17</v>
      </c>
    </row>
    <row r="419084" spans="1:13" x14ac:dyDescent="0.25">
      <c r="A419084" s="6">
        <v>46141.458333333336</v>
      </c>
      <c r="B419084" s="11">
        <f t="shared" si="105"/>
        <v>4</v>
      </c>
      <c r="C419084" s="11">
        <f t="shared" si="106"/>
        <v>18</v>
      </c>
      <c r="D419084" s="5" t="s">
        <v>13</v>
      </c>
      <c r="E419084" s="11" t="s">
        <v>14</v>
      </c>
      <c r="F419084" s="9" t="s">
        <v>15</v>
      </c>
      <c r="G419084">
        <v>1</v>
      </c>
      <c r="J419084" s="7">
        <v>7.1999999999999995E-2</v>
      </c>
      <c r="K419084" s="11">
        <f t="shared" si="104"/>
        <v>2026</v>
      </c>
      <c r="L419084" t="s">
        <v>25</v>
      </c>
      <c r="M419084" t="s">
        <v>17</v>
      </c>
    </row>
    <row r="419085" spans="1:13" x14ac:dyDescent="0.25">
      <c r="A419085" s="6">
        <v>46141.458333333336</v>
      </c>
      <c r="B419085" s="11">
        <f t="shared" si="105"/>
        <v>4</v>
      </c>
      <c r="C419085" s="11">
        <f t="shared" si="106"/>
        <v>18</v>
      </c>
      <c r="D419085" s="5" t="s">
        <v>13</v>
      </c>
      <c r="E419085" s="11" t="s">
        <v>14</v>
      </c>
      <c r="F419085" s="9" t="s">
        <v>15</v>
      </c>
      <c r="G419085">
        <v>1</v>
      </c>
      <c r="J419085" s="7">
        <v>2.016</v>
      </c>
      <c r="K419085" s="11">
        <f t="shared" si="104"/>
        <v>2026</v>
      </c>
      <c r="L419085" t="s">
        <v>25</v>
      </c>
      <c r="M419085" t="s">
        <v>17</v>
      </c>
    </row>
    <row r="419086" spans="1:13" x14ac:dyDescent="0.25">
      <c r="A419086" s="6">
        <v>46141.458333333336</v>
      </c>
      <c r="B419086" s="11">
        <f t="shared" si="105"/>
        <v>4</v>
      </c>
      <c r="C419086" s="11">
        <f t="shared" si="106"/>
        <v>18</v>
      </c>
      <c r="D419086" s="5" t="s">
        <v>13</v>
      </c>
      <c r="E419086" s="11" t="s">
        <v>14</v>
      </c>
      <c r="F419086" s="9" t="s">
        <v>15</v>
      </c>
      <c r="G419086">
        <v>1</v>
      </c>
      <c r="J419086" s="7">
        <v>1.248</v>
      </c>
      <c r="K419086" s="11">
        <f t="shared" si="104"/>
        <v>2026</v>
      </c>
      <c r="L419086" t="s">
        <v>25</v>
      </c>
      <c r="M419086" t="s">
        <v>17</v>
      </c>
    </row>
    <row r="419087" spans="1:13" x14ac:dyDescent="0.25">
      <c r="A419087" s="6">
        <v>46144.864583333336</v>
      </c>
      <c r="B419087" s="11">
        <f t="shared" si="105"/>
        <v>5</v>
      </c>
      <c r="C419087" s="11">
        <f t="shared" si="106"/>
        <v>18</v>
      </c>
      <c r="D419087" s="5" t="s">
        <v>13</v>
      </c>
      <c r="E419087" s="11" t="s">
        <v>14</v>
      </c>
      <c r="F419087" s="9" t="s">
        <v>15</v>
      </c>
      <c r="G419087">
        <v>1</v>
      </c>
      <c r="J419087" s="7">
        <v>4.8739999999999997</v>
      </c>
      <c r="K419087" s="11">
        <f t="shared" si="104"/>
        <v>2026</v>
      </c>
      <c r="L419087" t="s">
        <v>25</v>
      </c>
      <c r="M419087" t="s">
        <v>17</v>
      </c>
    </row>
    <row r="419088" spans="1:13" x14ac:dyDescent="0.25">
      <c r="A419088" s="6">
        <v>46144.864583333336</v>
      </c>
      <c r="B419088" s="11">
        <f t="shared" si="105"/>
        <v>5</v>
      </c>
      <c r="C419088" s="11">
        <f t="shared" si="106"/>
        <v>18</v>
      </c>
      <c r="D419088" s="5" t="s">
        <v>13</v>
      </c>
      <c r="E419088" s="11" t="s">
        <v>14</v>
      </c>
      <c r="F419088" s="9" t="s">
        <v>15</v>
      </c>
      <c r="G419088">
        <v>1</v>
      </c>
      <c r="J419088" s="7">
        <v>4.0000000000000001E-3</v>
      </c>
      <c r="K419088" s="11">
        <f t="shared" si="104"/>
        <v>2026</v>
      </c>
      <c r="L419088" t="s">
        <v>25</v>
      </c>
      <c r="M419088" t="s">
        <v>17</v>
      </c>
    </row>
    <row r="419089" spans="1:13" x14ac:dyDescent="0.25">
      <c r="A419089" s="6">
        <v>46144.864583333336</v>
      </c>
      <c r="B419089" s="11">
        <f t="shared" si="105"/>
        <v>5</v>
      </c>
      <c r="C419089" s="11">
        <f t="shared" si="106"/>
        <v>18</v>
      </c>
      <c r="D419089" s="5" t="s">
        <v>13</v>
      </c>
      <c r="E419089" s="11" t="s">
        <v>14</v>
      </c>
      <c r="F419089" s="9" t="s">
        <v>15</v>
      </c>
      <c r="G419089">
        <v>1</v>
      </c>
      <c r="J419089" s="7">
        <v>5.4669999999999996</v>
      </c>
      <c r="K419089" s="11">
        <f t="shared" si="104"/>
        <v>2026</v>
      </c>
      <c r="L419089" t="s">
        <v>25</v>
      </c>
      <c r="M419089" t="s">
        <v>17</v>
      </c>
    </row>
    <row r="419090" spans="1:13" x14ac:dyDescent="0.25">
      <c r="A419090" s="6">
        <v>46144.864583333336</v>
      </c>
      <c r="B419090" s="11">
        <f t="shared" si="105"/>
        <v>5</v>
      </c>
      <c r="C419090" s="11">
        <f t="shared" si="106"/>
        <v>18</v>
      </c>
      <c r="D419090" s="5" t="s">
        <v>13</v>
      </c>
      <c r="E419090" s="11" t="s">
        <v>14</v>
      </c>
      <c r="F419090" s="9" t="s">
        <v>15</v>
      </c>
      <c r="G419090">
        <v>1</v>
      </c>
      <c r="J419090" s="7">
        <v>6.4349999999999996</v>
      </c>
      <c r="K419090" s="11">
        <f t="shared" si="104"/>
        <v>2026</v>
      </c>
      <c r="L419090" t="s">
        <v>25</v>
      </c>
      <c r="M419090" t="s">
        <v>17</v>
      </c>
    </row>
    <row r="419091" spans="1:13" x14ac:dyDescent="0.25">
      <c r="A419091" s="6">
        <v>46144.864583333336</v>
      </c>
      <c r="B419091" s="11">
        <f t="shared" si="105"/>
        <v>5</v>
      </c>
      <c r="C419091" s="11">
        <f t="shared" si="106"/>
        <v>18</v>
      </c>
      <c r="D419091" s="5" t="s">
        <v>13</v>
      </c>
      <c r="E419091" s="11" t="s">
        <v>14</v>
      </c>
      <c r="F419091" s="9" t="s">
        <v>15</v>
      </c>
      <c r="G419091">
        <v>1</v>
      </c>
      <c r="J419091" s="7">
        <v>1.252</v>
      </c>
      <c r="K419091" s="11">
        <f t="shared" si="104"/>
        <v>2026</v>
      </c>
      <c r="L419091" t="s">
        <v>25</v>
      </c>
      <c r="M419091" t="s">
        <v>17</v>
      </c>
    </row>
    <row r="419092" spans="1:13" x14ac:dyDescent="0.25">
      <c r="A419092" s="6">
        <v>46144.864583333336</v>
      </c>
      <c r="B419092" s="11">
        <f t="shared" si="105"/>
        <v>5</v>
      </c>
      <c r="C419092" s="11">
        <f t="shared" si="106"/>
        <v>18</v>
      </c>
      <c r="D419092" s="5" t="s">
        <v>13</v>
      </c>
      <c r="E419092" s="11" t="s">
        <v>14</v>
      </c>
      <c r="F419092" s="9" t="s">
        <v>15</v>
      </c>
      <c r="G419092">
        <v>1</v>
      </c>
      <c r="J419092" s="7">
        <v>0.96799999999999997</v>
      </c>
      <c r="K419092" s="11">
        <f t="shared" si="104"/>
        <v>2026</v>
      </c>
      <c r="L419092" t="s">
        <v>25</v>
      </c>
      <c r="M419092" t="s">
        <v>17</v>
      </c>
    </row>
    <row r="419093" spans="1:13" x14ac:dyDescent="0.25">
      <c r="A419093" s="6">
        <v>46144.864583333336</v>
      </c>
      <c r="B419093" s="11">
        <f t="shared" si="105"/>
        <v>5</v>
      </c>
      <c r="C419093" s="11">
        <f t="shared" si="106"/>
        <v>18</v>
      </c>
      <c r="D419093" s="5" t="s">
        <v>13</v>
      </c>
      <c r="E419093" s="11" t="s">
        <v>14</v>
      </c>
      <c r="F419093" s="9" t="s">
        <v>15</v>
      </c>
      <c r="G419093">
        <v>1</v>
      </c>
      <c r="J419093" s="7">
        <v>1.2529999999999999</v>
      </c>
      <c r="K419093" s="11">
        <f t="shared" si="104"/>
        <v>2026</v>
      </c>
      <c r="L419093" t="s">
        <v>25</v>
      </c>
      <c r="M419093" t="s">
        <v>17</v>
      </c>
    </row>
    <row r="419094" spans="1:13" x14ac:dyDescent="0.25">
      <c r="A419094" s="6">
        <v>46141.041666666664</v>
      </c>
      <c r="B419094" s="11">
        <f t="shared" si="105"/>
        <v>4</v>
      </c>
      <c r="C419094" s="11">
        <f t="shared" si="106"/>
        <v>18</v>
      </c>
      <c r="D419094" s="5" t="s">
        <v>18</v>
      </c>
      <c r="E419094" s="11" t="s">
        <v>14</v>
      </c>
      <c r="F419094" s="9" t="s">
        <v>22</v>
      </c>
      <c r="G419094">
        <v>1</v>
      </c>
      <c r="J419094" s="7">
        <v>1.496</v>
      </c>
      <c r="K419094" s="11">
        <f t="shared" si="104"/>
        <v>2026</v>
      </c>
      <c r="L419094" t="s">
        <v>25</v>
      </c>
      <c r="M419094" t="s">
        <v>17</v>
      </c>
    </row>
    <row r="419095" spans="1:13" x14ac:dyDescent="0.25">
      <c r="A419095" s="6">
        <v>46141.041666666664</v>
      </c>
      <c r="B419095" s="11">
        <f t="shared" si="105"/>
        <v>4</v>
      </c>
      <c r="C419095" s="11">
        <f t="shared" si="106"/>
        <v>18</v>
      </c>
      <c r="D419095" s="5" t="s">
        <v>18</v>
      </c>
      <c r="E419095" s="11" t="s">
        <v>14</v>
      </c>
      <c r="F419095" s="9" t="s">
        <v>22</v>
      </c>
      <c r="G419095">
        <v>1</v>
      </c>
      <c r="J419095" s="7">
        <v>4.0069999999999997</v>
      </c>
      <c r="K419095" s="11">
        <f t="shared" si="104"/>
        <v>2026</v>
      </c>
      <c r="L419095" t="s">
        <v>25</v>
      </c>
      <c r="M419095" t="s">
        <v>17</v>
      </c>
    </row>
    <row r="419096" spans="1:13" x14ac:dyDescent="0.25">
      <c r="A419096" s="6">
        <v>46141.041666666664</v>
      </c>
      <c r="B419096" s="11">
        <f t="shared" si="105"/>
        <v>4</v>
      </c>
      <c r="C419096" s="11">
        <f t="shared" si="106"/>
        <v>18</v>
      </c>
      <c r="D419096" s="5" t="s">
        <v>18</v>
      </c>
      <c r="E419096" s="11" t="s">
        <v>14</v>
      </c>
      <c r="F419096" s="9" t="s">
        <v>22</v>
      </c>
      <c r="G419096">
        <v>1</v>
      </c>
      <c r="J419096" s="7">
        <v>0.51400000000000001</v>
      </c>
      <c r="K419096" s="11">
        <f t="shared" si="104"/>
        <v>2026</v>
      </c>
      <c r="L419096" t="s">
        <v>25</v>
      </c>
      <c r="M419096" t="s">
        <v>17</v>
      </c>
    </row>
    <row r="419097" spans="1:13" x14ac:dyDescent="0.25">
      <c r="A419097" s="6">
        <v>46141.041666666664</v>
      </c>
      <c r="B419097" s="11">
        <f t="shared" si="105"/>
        <v>4</v>
      </c>
      <c r="C419097" s="11">
        <f t="shared" si="106"/>
        <v>18</v>
      </c>
      <c r="D419097" s="5" t="s">
        <v>18</v>
      </c>
      <c r="E419097" s="11" t="s">
        <v>14</v>
      </c>
      <c r="F419097" s="9" t="s">
        <v>22</v>
      </c>
      <c r="G419097">
        <v>1</v>
      </c>
      <c r="J419097" s="7">
        <v>1.92</v>
      </c>
      <c r="K419097" s="11">
        <f t="shared" si="104"/>
        <v>2026</v>
      </c>
      <c r="L419097" t="s">
        <v>25</v>
      </c>
      <c r="M419097" t="s">
        <v>17</v>
      </c>
    </row>
    <row r="419098" spans="1:13" x14ac:dyDescent="0.25">
      <c r="A419098" s="6">
        <v>46142</v>
      </c>
      <c r="B419098" s="11">
        <f t="shared" si="105"/>
        <v>4</v>
      </c>
      <c r="C419098" s="11">
        <f t="shared" si="106"/>
        <v>18</v>
      </c>
      <c r="D419098" s="5" t="s">
        <v>21</v>
      </c>
      <c r="E419098" s="11" t="s">
        <v>14</v>
      </c>
      <c r="F419098" s="9" t="s">
        <v>22</v>
      </c>
      <c r="G419098">
        <v>1</v>
      </c>
      <c r="J419098" s="7">
        <v>1</v>
      </c>
      <c r="K419098" s="11">
        <f t="shared" si="104"/>
        <v>2026</v>
      </c>
      <c r="L419098" t="s">
        <v>25</v>
      </c>
      <c r="M419098" t="s">
        <v>17</v>
      </c>
    </row>
    <row r="419099" spans="1:13" x14ac:dyDescent="0.25">
      <c r="A419099" s="6">
        <v>46143</v>
      </c>
      <c r="B419099" s="11">
        <f t="shared" si="105"/>
        <v>5</v>
      </c>
      <c r="C419099" s="11">
        <f t="shared" si="106"/>
        <v>18</v>
      </c>
      <c r="D419099" s="5" t="s">
        <v>18</v>
      </c>
      <c r="E419099" s="11" t="s">
        <v>14</v>
      </c>
      <c r="F419099" s="9" t="s">
        <v>22</v>
      </c>
      <c r="G419099">
        <v>1</v>
      </c>
      <c r="J419099" s="7">
        <v>1.498</v>
      </c>
      <c r="K419099" s="11">
        <f t="shared" si="104"/>
        <v>2026</v>
      </c>
      <c r="L419099" t="s">
        <v>25</v>
      </c>
      <c r="M419099" t="s">
        <v>17</v>
      </c>
    </row>
    <row r="419100" spans="1:13" x14ac:dyDescent="0.25">
      <c r="A419100" s="6">
        <v>46143</v>
      </c>
      <c r="B419100" s="11">
        <f t="shared" si="105"/>
        <v>5</v>
      </c>
      <c r="C419100" s="11">
        <f t="shared" si="106"/>
        <v>18</v>
      </c>
      <c r="D419100" s="5" t="s">
        <v>18</v>
      </c>
      <c r="E419100" s="11" t="s">
        <v>14</v>
      </c>
      <c r="F419100" s="9" t="s">
        <v>22</v>
      </c>
      <c r="G419100">
        <v>1</v>
      </c>
      <c r="J419100" s="7">
        <v>0.749</v>
      </c>
      <c r="K419100" s="11">
        <f t="shared" si="104"/>
        <v>2026</v>
      </c>
      <c r="L419100" t="s">
        <v>25</v>
      </c>
      <c r="M419100" t="s">
        <v>17</v>
      </c>
    </row>
    <row r="419101" spans="1:13" x14ac:dyDescent="0.25">
      <c r="A419101" s="6">
        <v>46139.791666666664</v>
      </c>
      <c r="B419101" s="11">
        <f t="shared" si="105"/>
        <v>4</v>
      </c>
      <c r="C419101" s="11">
        <f t="shared" si="106"/>
        <v>18</v>
      </c>
      <c r="D419101" s="5" t="s">
        <v>13</v>
      </c>
      <c r="E419101" s="11" t="s">
        <v>14</v>
      </c>
      <c r="F419101" s="9" t="s">
        <v>15</v>
      </c>
      <c r="G419101">
        <v>1</v>
      </c>
      <c r="J419101" s="7">
        <v>0.223</v>
      </c>
      <c r="K419101" s="11">
        <f t="shared" si="104"/>
        <v>2026</v>
      </c>
      <c r="L419101" t="s">
        <v>25</v>
      </c>
      <c r="M419101" t="s">
        <v>17</v>
      </c>
    </row>
    <row r="419102" spans="1:13" x14ac:dyDescent="0.25">
      <c r="A419102" s="6">
        <v>46140</v>
      </c>
      <c r="B419102" s="11">
        <f t="shared" si="105"/>
        <v>4</v>
      </c>
      <c r="C419102" s="11">
        <f t="shared" si="106"/>
        <v>18</v>
      </c>
      <c r="D419102" s="5" t="s">
        <v>21</v>
      </c>
      <c r="E419102" s="11" t="s">
        <v>14</v>
      </c>
      <c r="F419102" s="9" t="s">
        <v>22</v>
      </c>
      <c r="G419102">
        <v>1</v>
      </c>
      <c r="J419102" s="7">
        <v>1.78</v>
      </c>
      <c r="K419102" s="11">
        <f t="shared" si="104"/>
        <v>2026</v>
      </c>
      <c r="L419102" t="s">
        <v>25</v>
      </c>
      <c r="M419102" t="s">
        <v>17</v>
      </c>
    </row>
    <row r="419103" spans="1:13" x14ac:dyDescent="0.25">
      <c r="A419103" s="6">
        <v>46144.864583333336</v>
      </c>
      <c r="B419103" s="11">
        <f t="shared" si="105"/>
        <v>5</v>
      </c>
      <c r="C419103" s="11">
        <f t="shared" si="106"/>
        <v>18</v>
      </c>
      <c r="D419103" s="5" t="s">
        <v>18</v>
      </c>
      <c r="E419103" s="11" t="s">
        <v>14</v>
      </c>
      <c r="F419103" s="9" t="s">
        <v>15</v>
      </c>
      <c r="G419103">
        <v>1</v>
      </c>
      <c r="J419103" s="7">
        <v>19.184000000000001</v>
      </c>
      <c r="K419103" s="11">
        <f t="shared" si="104"/>
        <v>2026</v>
      </c>
      <c r="L419103" t="s">
        <v>25</v>
      </c>
      <c r="M419103" t="s">
        <v>17</v>
      </c>
    </row>
    <row r="419104" spans="1:13" x14ac:dyDescent="0.25">
      <c r="A419104" s="6">
        <v>46144.864583333336</v>
      </c>
      <c r="B419104" s="11">
        <f t="shared" si="105"/>
        <v>5</v>
      </c>
      <c r="C419104" s="11">
        <f t="shared" si="106"/>
        <v>18</v>
      </c>
      <c r="D419104" s="5" t="s">
        <v>18</v>
      </c>
      <c r="E419104" s="11" t="s">
        <v>14</v>
      </c>
      <c r="F419104" s="9" t="s">
        <v>15</v>
      </c>
      <c r="G419104">
        <v>1</v>
      </c>
      <c r="J419104" s="7">
        <v>19.184000000000001</v>
      </c>
      <c r="K419104" s="11">
        <f t="shared" si="104"/>
        <v>2026</v>
      </c>
      <c r="L419104" t="s">
        <v>25</v>
      </c>
      <c r="M419104" t="s">
        <v>17</v>
      </c>
    </row>
    <row r="419105" spans="1:13" x14ac:dyDescent="0.25">
      <c r="A419105" s="6">
        <v>46141</v>
      </c>
      <c r="B419105" s="11">
        <f t="shared" si="105"/>
        <v>4</v>
      </c>
      <c r="C419105" s="11">
        <f t="shared" si="106"/>
        <v>18</v>
      </c>
      <c r="D419105" s="5" t="s">
        <v>20</v>
      </c>
      <c r="E419105" s="11" t="s">
        <v>14</v>
      </c>
      <c r="F419105" s="9" t="s">
        <v>15</v>
      </c>
      <c r="G419105">
        <v>1</v>
      </c>
      <c r="J419105" s="7">
        <v>1.0049999999999999</v>
      </c>
      <c r="K419105" s="11">
        <f t="shared" si="104"/>
        <v>2026</v>
      </c>
      <c r="L419105" t="s">
        <v>25</v>
      </c>
      <c r="M419105" t="s">
        <v>17</v>
      </c>
    </row>
    <row r="419106" spans="1:13" x14ac:dyDescent="0.25">
      <c r="A419106" s="6">
        <v>46141</v>
      </c>
      <c r="B419106" s="11">
        <f t="shared" si="105"/>
        <v>4</v>
      </c>
      <c r="C419106" s="11">
        <f t="shared" si="106"/>
        <v>18</v>
      </c>
      <c r="D419106" s="5" t="s">
        <v>20</v>
      </c>
      <c r="E419106" s="11" t="s">
        <v>14</v>
      </c>
      <c r="F419106" s="9" t="s">
        <v>15</v>
      </c>
      <c r="G419106">
        <v>1</v>
      </c>
      <c r="J419106" s="7">
        <v>1.667</v>
      </c>
      <c r="K419106" s="11">
        <f t="shared" si="104"/>
        <v>2026</v>
      </c>
      <c r="L419106" t="s">
        <v>25</v>
      </c>
      <c r="M419106" t="s">
        <v>17</v>
      </c>
    </row>
    <row r="419107" spans="1:13" x14ac:dyDescent="0.25">
      <c r="A419107" s="6">
        <v>46139</v>
      </c>
      <c r="B419107" s="11">
        <f t="shared" si="105"/>
        <v>4</v>
      </c>
      <c r="C419107" s="11">
        <f t="shared" si="106"/>
        <v>18</v>
      </c>
      <c r="D419107" s="5" t="s">
        <v>13</v>
      </c>
      <c r="E419107" s="11" t="s">
        <v>14</v>
      </c>
      <c r="F419107" s="9" t="s">
        <v>22</v>
      </c>
      <c r="G419107">
        <v>1</v>
      </c>
      <c r="J419107" s="7">
        <v>3.3460000000000001</v>
      </c>
      <c r="K419107" s="11">
        <f t="shared" si="104"/>
        <v>2026</v>
      </c>
      <c r="L419107" t="s">
        <v>25</v>
      </c>
      <c r="M419107" t="s">
        <v>17</v>
      </c>
    </row>
    <row r="419108" spans="1:13" x14ac:dyDescent="0.25">
      <c r="A419108" s="6">
        <v>46140</v>
      </c>
      <c r="B419108" s="11">
        <f t="shared" si="105"/>
        <v>4</v>
      </c>
      <c r="C419108" s="11">
        <f t="shared" si="106"/>
        <v>18</v>
      </c>
      <c r="D419108" s="5" t="s">
        <v>13</v>
      </c>
      <c r="E419108" s="11" t="s">
        <v>14</v>
      </c>
      <c r="F419108" s="9" t="s">
        <v>22</v>
      </c>
      <c r="G419108">
        <v>1</v>
      </c>
      <c r="J419108" s="7">
        <v>1.3520000000000001</v>
      </c>
      <c r="K419108" s="11">
        <f t="shared" si="104"/>
        <v>2026</v>
      </c>
      <c r="L419108" t="s">
        <v>25</v>
      </c>
      <c r="M419108" t="s">
        <v>17</v>
      </c>
    </row>
    <row r="419109" spans="1:13" x14ac:dyDescent="0.25">
      <c r="A419109" s="6">
        <v>46142.291666666664</v>
      </c>
      <c r="B419109" s="11">
        <f t="shared" si="105"/>
        <v>4</v>
      </c>
      <c r="C419109" s="11">
        <f t="shared" si="106"/>
        <v>18</v>
      </c>
      <c r="D419109" s="5" t="s">
        <v>18</v>
      </c>
      <c r="E419109" s="11" t="s">
        <v>14</v>
      </c>
      <c r="F419109" s="9" t="s">
        <v>15</v>
      </c>
      <c r="G419109">
        <v>1</v>
      </c>
      <c r="J419109" s="7">
        <v>1.008</v>
      </c>
      <c r="K419109" s="11">
        <f t="shared" si="104"/>
        <v>2026</v>
      </c>
      <c r="L419109" t="s">
        <v>25</v>
      </c>
      <c r="M419109" t="s">
        <v>17</v>
      </c>
    </row>
    <row r="419110" spans="1:13" x14ac:dyDescent="0.25">
      <c r="A419110" s="6">
        <v>46142.291666666664</v>
      </c>
      <c r="B419110" s="11">
        <f t="shared" si="105"/>
        <v>4</v>
      </c>
      <c r="C419110" s="11">
        <f t="shared" si="106"/>
        <v>18</v>
      </c>
      <c r="D419110" s="5" t="s">
        <v>18</v>
      </c>
      <c r="E419110" s="11" t="s">
        <v>14</v>
      </c>
      <c r="F419110" s="9" t="s">
        <v>15</v>
      </c>
      <c r="G419110">
        <v>1</v>
      </c>
      <c r="J419110" s="7">
        <v>2.9630000000000001</v>
      </c>
      <c r="K419110" s="11">
        <f t="shared" si="104"/>
        <v>2026</v>
      </c>
      <c r="L419110" t="s">
        <v>25</v>
      </c>
      <c r="M419110" t="s">
        <v>17</v>
      </c>
    </row>
    <row r="419111" spans="1:13" x14ac:dyDescent="0.25">
      <c r="A419111" s="6">
        <v>46139</v>
      </c>
      <c r="B419111" s="11">
        <f t="shared" si="105"/>
        <v>4</v>
      </c>
      <c r="C419111" s="11">
        <f t="shared" si="106"/>
        <v>18</v>
      </c>
      <c r="D419111" s="5" t="s">
        <v>19</v>
      </c>
      <c r="E419111" s="11" t="s">
        <v>14</v>
      </c>
      <c r="F419111" s="9" t="s">
        <v>22</v>
      </c>
      <c r="G419111">
        <v>1</v>
      </c>
      <c r="J419111" s="7">
        <v>0.499</v>
      </c>
      <c r="K419111" s="11">
        <f t="shared" si="104"/>
        <v>2026</v>
      </c>
      <c r="L419111" t="s">
        <v>25</v>
      </c>
      <c r="M419111" t="s">
        <v>17</v>
      </c>
    </row>
    <row r="419112" spans="1:13" x14ac:dyDescent="0.25">
      <c r="A419112" s="6">
        <v>46139.791666666664</v>
      </c>
      <c r="B419112" s="11">
        <f t="shared" si="105"/>
        <v>4</v>
      </c>
      <c r="C419112" s="11">
        <f t="shared" si="106"/>
        <v>18</v>
      </c>
      <c r="D419112" s="5" t="s">
        <v>18</v>
      </c>
      <c r="E419112" s="11" t="s">
        <v>14</v>
      </c>
      <c r="F419112" s="9" t="s">
        <v>15</v>
      </c>
      <c r="G419112">
        <v>1</v>
      </c>
      <c r="J419112" s="7">
        <v>12.657999999999999</v>
      </c>
      <c r="K419112" s="11">
        <f t="shared" si="104"/>
        <v>2026</v>
      </c>
      <c r="L419112" t="s">
        <v>25</v>
      </c>
      <c r="M419112" t="s">
        <v>17</v>
      </c>
    </row>
    <row r="419113" spans="1:13" x14ac:dyDescent="0.25">
      <c r="A419113" s="6">
        <v>46143.333333333336</v>
      </c>
      <c r="B419113" s="11">
        <f t="shared" si="105"/>
        <v>5</v>
      </c>
      <c r="C419113" s="11">
        <f t="shared" si="106"/>
        <v>18</v>
      </c>
      <c r="D419113" s="5" t="s">
        <v>13</v>
      </c>
      <c r="E419113" s="11" t="s">
        <v>14</v>
      </c>
      <c r="F419113" s="9" t="s">
        <v>22</v>
      </c>
      <c r="G419113">
        <v>1</v>
      </c>
      <c r="J419113" s="7">
        <v>0.499</v>
      </c>
      <c r="K419113" s="11">
        <f t="shared" si="104"/>
        <v>2026</v>
      </c>
      <c r="L419113" t="s">
        <v>25</v>
      </c>
      <c r="M419113" t="s">
        <v>17</v>
      </c>
    </row>
    <row r="419114" spans="1:13" x14ac:dyDescent="0.25">
      <c r="A419114" s="6">
        <v>46143.333333333336</v>
      </c>
      <c r="B419114" s="11">
        <f t="shared" si="105"/>
        <v>5</v>
      </c>
      <c r="C419114" s="11">
        <f t="shared" si="106"/>
        <v>18</v>
      </c>
      <c r="D419114" s="5" t="s">
        <v>13</v>
      </c>
      <c r="E419114" s="11" t="s">
        <v>14</v>
      </c>
      <c r="F419114" s="9" t="s">
        <v>22</v>
      </c>
      <c r="G419114">
        <v>1</v>
      </c>
      <c r="J419114" s="7">
        <v>0.48</v>
      </c>
      <c r="K419114" s="11">
        <f t="shared" si="104"/>
        <v>2026</v>
      </c>
      <c r="L419114" t="s">
        <v>25</v>
      </c>
      <c r="M419114" t="s">
        <v>17</v>
      </c>
    </row>
    <row r="419115" spans="1:13" x14ac:dyDescent="0.25">
      <c r="A419115" s="6">
        <v>46140</v>
      </c>
      <c r="B419115" s="11">
        <f t="shared" ref="B419115:B419178" si="107">MONTH(A419115)</f>
        <v>4</v>
      </c>
      <c r="C419115" s="11">
        <f t="shared" ref="C419115:C419178" si="108">WEEKNUM(A419115)</f>
        <v>18</v>
      </c>
      <c r="D419115" s="5" t="s">
        <v>13</v>
      </c>
      <c r="E419115" s="11" t="s">
        <v>14</v>
      </c>
      <c r="F419115" s="9" t="s">
        <v>22</v>
      </c>
      <c r="G419115">
        <v>1</v>
      </c>
      <c r="J419115" s="7">
        <v>0.88100000000000001</v>
      </c>
      <c r="K419115" s="11">
        <f t="shared" si="104"/>
        <v>2026</v>
      </c>
      <c r="L419115" t="s">
        <v>25</v>
      </c>
      <c r="M419115" t="s">
        <v>17</v>
      </c>
    </row>
    <row r="419116" spans="1:13" x14ac:dyDescent="0.25">
      <c r="A419116" s="6">
        <v>46141</v>
      </c>
      <c r="B419116" s="11">
        <f t="shared" si="107"/>
        <v>4</v>
      </c>
      <c r="C419116" s="11">
        <f t="shared" si="108"/>
        <v>18</v>
      </c>
      <c r="D419116" s="5" t="s">
        <v>18</v>
      </c>
      <c r="E419116" s="11" t="s">
        <v>14</v>
      </c>
      <c r="F419116" s="9" t="s">
        <v>15</v>
      </c>
      <c r="G419116">
        <v>1</v>
      </c>
      <c r="J419116" s="7">
        <v>3.0960000000000001</v>
      </c>
      <c r="K419116" s="11">
        <f t="shared" ref="K419116:K419179" si="109">YEAR(A419116)</f>
        <v>2026</v>
      </c>
      <c r="L419116" t="s">
        <v>25</v>
      </c>
      <c r="M419116" t="s">
        <v>17</v>
      </c>
    </row>
    <row r="419117" spans="1:13" x14ac:dyDescent="0.25">
      <c r="A419117" s="6">
        <v>46141</v>
      </c>
      <c r="B419117" s="11">
        <f t="shared" si="107"/>
        <v>4</v>
      </c>
      <c r="C419117" s="11">
        <f t="shared" si="108"/>
        <v>18</v>
      </c>
      <c r="D419117" s="5" t="s">
        <v>18</v>
      </c>
      <c r="E419117" s="11" t="s">
        <v>14</v>
      </c>
      <c r="F419117" s="9" t="s">
        <v>15</v>
      </c>
      <c r="G419117">
        <v>1</v>
      </c>
      <c r="J419117" s="7">
        <v>2.944</v>
      </c>
      <c r="K419117" s="11">
        <f t="shared" si="109"/>
        <v>2026</v>
      </c>
      <c r="L419117" t="s">
        <v>25</v>
      </c>
      <c r="M419117" t="s">
        <v>17</v>
      </c>
    </row>
    <row r="419118" spans="1:13" x14ac:dyDescent="0.25">
      <c r="A419118" s="6">
        <v>46141</v>
      </c>
      <c r="B419118" s="11">
        <f t="shared" si="107"/>
        <v>4</v>
      </c>
      <c r="C419118" s="11">
        <f t="shared" si="108"/>
        <v>18</v>
      </c>
      <c r="D419118" s="5" t="s">
        <v>18</v>
      </c>
      <c r="E419118" s="11" t="s">
        <v>14</v>
      </c>
      <c r="F419118" s="9" t="s">
        <v>15</v>
      </c>
      <c r="G419118">
        <v>1</v>
      </c>
      <c r="J419118" s="7">
        <v>4.1609999999999996</v>
      </c>
      <c r="K419118" s="11">
        <f t="shared" si="109"/>
        <v>2026</v>
      </c>
      <c r="L419118" t="s">
        <v>25</v>
      </c>
      <c r="M419118" t="s">
        <v>17</v>
      </c>
    </row>
    <row r="419119" spans="1:13" x14ac:dyDescent="0.25">
      <c r="A419119" s="6">
        <v>46141</v>
      </c>
      <c r="B419119" s="11">
        <f t="shared" si="107"/>
        <v>4</v>
      </c>
      <c r="C419119" s="11">
        <f t="shared" si="108"/>
        <v>18</v>
      </c>
      <c r="D419119" s="5" t="s">
        <v>18</v>
      </c>
      <c r="E419119" s="11" t="s">
        <v>14</v>
      </c>
      <c r="F419119" s="9" t="s">
        <v>15</v>
      </c>
      <c r="G419119">
        <v>1</v>
      </c>
      <c r="J419119" s="7">
        <v>1.8120000000000001</v>
      </c>
      <c r="K419119" s="11">
        <f t="shared" si="109"/>
        <v>2026</v>
      </c>
      <c r="L419119" t="s">
        <v>25</v>
      </c>
      <c r="M419119" t="s">
        <v>17</v>
      </c>
    </row>
    <row r="419120" spans="1:13" x14ac:dyDescent="0.25">
      <c r="A419120" s="6">
        <v>46141</v>
      </c>
      <c r="B419120" s="11">
        <f t="shared" si="107"/>
        <v>4</v>
      </c>
      <c r="C419120" s="11">
        <f t="shared" si="108"/>
        <v>18</v>
      </c>
      <c r="D419120" s="5" t="s">
        <v>18</v>
      </c>
      <c r="E419120" s="11" t="s">
        <v>14</v>
      </c>
      <c r="F419120" s="9" t="s">
        <v>15</v>
      </c>
      <c r="G419120">
        <v>1</v>
      </c>
      <c r="J419120" s="7">
        <v>1.5860000000000001</v>
      </c>
      <c r="K419120" s="11">
        <f t="shared" si="109"/>
        <v>2026</v>
      </c>
      <c r="L419120" t="s">
        <v>25</v>
      </c>
      <c r="M419120" t="s">
        <v>17</v>
      </c>
    </row>
    <row r="419121" spans="1:13" x14ac:dyDescent="0.25">
      <c r="A419121" s="6">
        <v>46141</v>
      </c>
      <c r="B419121" s="11">
        <f t="shared" si="107"/>
        <v>4</v>
      </c>
      <c r="C419121" s="11">
        <f t="shared" si="108"/>
        <v>18</v>
      </c>
      <c r="D419121" s="5" t="s">
        <v>13</v>
      </c>
      <c r="E419121" s="11" t="s">
        <v>14</v>
      </c>
      <c r="F419121" s="9" t="s">
        <v>15</v>
      </c>
      <c r="G419121">
        <v>1</v>
      </c>
      <c r="J419121" s="7">
        <v>4.6459999999999999</v>
      </c>
      <c r="K419121" s="11">
        <f t="shared" si="109"/>
        <v>2026</v>
      </c>
      <c r="L419121" t="s">
        <v>25</v>
      </c>
      <c r="M419121" t="s">
        <v>17</v>
      </c>
    </row>
    <row r="419122" spans="1:13" x14ac:dyDescent="0.25">
      <c r="A419122" s="6">
        <v>46144</v>
      </c>
      <c r="B419122" s="11">
        <f t="shared" si="107"/>
        <v>5</v>
      </c>
      <c r="C419122" s="11">
        <f t="shared" si="108"/>
        <v>18</v>
      </c>
      <c r="D419122" s="5" t="s">
        <v>19</v>
      </c>
      <c r="E419122" s="11" t="s">
        <v>14</v>
      </c>
      <c r="F419122" s="9" t="s">
        <v>22</v>
      </c>
      <c r="G419122">
        <v>1</v>
      </c>
      <c r="J419122" s="7">
        <v>5.702</v>
      </c>
      <c r="K419122" s="11">
        <f t="shared" si="109"/>
        <v>2026</v>
      </c>
      <c r="L419122" t="s">
        <v>25</v>
      </c>
      <c r="M419122" t="s">
        <v>17</v>
      </c>
    </row>
    <row r="419123" spans="1:13" x14ac:dyDescent="0.25">
      <c r="A419123" s="6">
        <v>46142.291666666664</v>
      </c>
      <c r="B419123" s="11">
        <f t="shared" si="107"/>
        <v>4</v>
      </c>
      <c r="C419123" s="11">
        <f t="shared" si="108"/>
        <v>18</v>
      </c>
      <c r="D419123" s="5" t="s">
        <v>13</v>
      </c>
      <c r="E419123" s="11" t="s">
        <v>14</v>
      </c>
      <c r="F419123" s="9" t="s">
        <v>15</v>
      </c>
      <c r="G419123">
        <v>1</v>
      </c>
      <c r="J419123" s="7">
        <v>0.52800000000000002</v>
      </c>
      <c r="K419123" s="11">
        <f t="shared" si="109"/>
        <v>2026</v>
      </c>
      <c r="L419123" t="s">
        <v>25</v>
      </c>
      <c r="M419123" t="s">
        <v>17</v>
      </c>
    </row>
    <row r="419124" spans="1:13" x14ac:dyDescent="0.25">
      <c r="A419124" s="6">
        <v>46142.291666666664</v>
      </c>
      <c r="B419124" s="11">
        <f t="shared" si="107"/>
        <v>4</v>
      </c>
      <c r="C419124" s="11">
        <f t="shared" si="108"/>
        <v>18</v>
      </c>
      <c r="D419124" s="5" t="s">
        <v>13</v>
      </c>
      <c r="E419124" s="11" t="s">
        <v>14</v>
      </c>
      <c r="F419124" s="9" t="s">
        <v>15</v>
      </c>
      <c r="G419124">
        <v>1</v>
      </c>
      <c r="J419124" s="7">
        <v>0.24</v>
      </c>
      <c r="K419124" s="11">
        <f t="shared" si="109"/>
        <v>2026</v>
      </c>
      <c r="L419124" t="s">
        <v>25</v>
      </c>
      <c r="M419124" t="s">
        <v>17</v>
      </c>
    </row>
    <row r="419125" spans="1:13" x14ac:dyDescent="0.25">
      <c r="A419125" s="6">
        <v>46142.291666666664</v>
      </c>
      <c r="B419125" s="11">
        <f t="shared" si="107"/>
        <v>4</v>
      </c>
      <c r="C419125" s="11">
        <f t="shared" si="108"/>
        <v>18</v>
      </c>
      <c r="D419125" s="5" t="s">
        <v>13</v>
      </c>
      <c r="E419125" s="11" t="s">
        <v>14</v>
      </c>
      <c r="F419125" s="9" t="s">
        <v>15</v>
      </c>
      <c r="G419125">
        <v>1</v>
      </c>
      <c r="J419125" s="7">
        <v>1.4079999999999999</v>
      </c>
      <c r="K419125" s="11">
        <f t="shared" si="109"/>
        <v>2026</v>
      </c>
      <c r="L419125" t="s">
        <v>25</v>
      </c>
      <c r="M419125" t="s">
        <v>17</v>
      </c>
    </row>
    <row r="419126" spans="1:13" x14ac:dyDescent="0.25">
      <c r="A419126" s="6">
        <v>46142.291666666664</v>
      </c>
      <c r="B419126" s="11">
        <f t="shared" si="107"/>
        <v>4</v>
      </c>
      <c r="C419126" s="11">
        <f t="shared" si="108"/>
        <v>18</v>
      </c>
      <c r="D419126" s="5" t="s">
        <v>13</v>
      </c>
      <c r="E419126" s="11" t="s">
        <v>14</v>
      </c>
      <c r="F419126" s="9" t="s">
        <v>15</v>
      </c>
      <c r="G419126">
        <v>1</v>
      </c>
      <c r="J419126" s="7">
        <v>1.915</v>
      </c>
      <c r="K419126" s="11">
        <f t="shared" si="109"/>
        <v>2026</v>
      </c>
      <c r="L419126" t="s">
        <v>25</v>
      </c>
      <c r="M419126" t="s">
        <v>17</v>
      </c>
    </row>
    <row r="419127" spans="1:13" x14ac:dyDescent="0.25">
      <c r="A419127" s="6">
        <v>46142.291666666664</v>
      </c>
      <c r="B419127" s="11">
        <f t="shared" si="107"/>
        <v>4</v>
      </c>
      <c r="C419127" s="11">
        <f t="shared" si="108"/>
        <v>18</v>
      </c>
      <c r="D419127" s="5" t="s">
        <v>13</v>
      </c>
      <c r="E419127" s="11" t="s">
        <v>14</v>
      </c>
      <c r="F419127" s="9" t="s">
        <v>15</v>
      </c>
      <c r="G419127">
        <v>1</v>
      </c>
      <c r="J419127" s="7">
        <v>6.6260000000000003</v>
      </c>
      <c r="K419127" s="11">
        <f t="shared" si="109"/>
        <v>2026</v>
      </c>
      <c r="L419127" t="s">
        <v>25</v>
      </c>
      <c r="M419127" t="s">
        <v>17</v>
      </c>
    </row>
    <row r="419128" spans="1:13" x14ac:dyDescent="0.25">
      <c r="A419128" s="6">
        <v>46144.864583333336</v>
      </c>
      <c r="B419128" s="11">
        <f t="shared" si="107"/>
        <v>5</v>
      </c>
      <c r="C419128" s="11">
        <f t="shared" si="108"/>
        <v>18</v>
      </c>
      <c r="D419128" s="5" t="s">
        <v>13</v>
      </c>
      <c r="E419128" s="11" t="s">
        <v>14</v>
      </c>
      <c r="F419128" s="9" t="s">
        <v>15</v>
      </c>
      <c r="G419128">
        <v>1</v>
      </c>
      <c r="J419128" s="7">
        <v>8.9209999999999994</v>
      </c>
      <c r="K419128" s="11">
        <f t="shared" si="109"/>
        <v>2026</v>
      </c>
      <c r="L419128" t="s">
        <v>25</v>
      </c>
      <c r="M419128" t="s">
        <v>17</v>
      </c>
    </row>
    <row r="419129" spans="1:13" x14ac:dyDescent="0.25">
      <c r="A419129" s="6">
        <v>46144.864583333336</v>
      </c>
      <c r="B419129" s="11">
        <f t="shared" si="107"/>
        <v>5</v>
      </c>
      <c r="C419129" s="11">
        <f t="shared" si="108"/>
        <v>18</v>
      </c>
      <c r="D419129" s="5" t="s">
        <v>18</v>
      </c>
      <c r="E419129" s="11" t="s">
        <v>14</v>
      </c>
      <c r="F419129" s="9" t="s">
        <v>15</v>
      </c>
      <c r="G419129">
        <v>1</v>
      </c>
      <c r="J419129" s="7">
        <v>9.4</v>
      </c>
      <c r="K419129" s="11">
        <f t="shared" si="109"/>
        <v>2026</v>
      </c>
      <c r="L419129" t="s">
        <v>25</v>
      </c>
      <c r="M419129" t="s">
        <v>17</v>
      </c>
    </row>
    <row r="419130" spans="1:13" x14ac:dyDescent="0.25">
      <c r="A419130" s="6">
        <v>46141.833333333336</v>
      </c>
      <c r="B419130" s="11">
        <f t="shared" si="107"/>
        <v>4</v>
      </c>
      <c r="C419130" s="11">
        <f t="shared" si="108"/>
        <v>18</v>
      </c>
      <c r="D419130" s="5" t="s">
        <v>19</v>
      </c>
      <c r="E419130" s="11" t="s">
        <v>14</v>
      </c>
      <c r="F419130" s="9" t="s">
        <v>22</v>
      </c>
      <c r="G419130">
        <v>1</v>
      </c>
      <c r="J419130" s="7">
        <v>4.87</v>
      </c>
      <c r="K419130" s="11">
        <f t="shared" si="109"/>
        <v>2026</v>
      </c>
      <c r="L419130" t="s">
        <v>25</v>
      </c>
      <c r="M419130" t="s">
        <v>17</v>
      </c>
    </row>
    <row r="419131" spans="1:13" x14ac:dyDescent="0.25">
      <c r="A419131" s="6">
        <v>46141</v>
      </c>
      <c r="B419131" s="11">
        <f t="shared" si="107"/>
        <v>4</v>
      </c>
      <c r="C419131" s="11">
        <f t="shared" si="108"/>
        <v>18</v>
      </c>
      <c r="D419131" s="5" t="s">
        <v>24</v>
      </c>
      <c r="E419131" s="11" t="s">
        <v>14</v>
      </c>
      <c r="F419131" s="9" t="s">
        <v>22</v>
      </c>
      <c r="G419131">
        <v>1</v>
      </c>
      <c r="J419131" s="7">
        <v>7.9039999999999999</v>
      </c>
      <c r="K419131" s="11">
        <f t="shared" si="109"/>
        <v>2026</v>
      </c>
      <c r="L419131" t="s">
        <v>25</v>
      </c>
      <c r="M419131" t="s">
        <v>17</v>
      </c>
    </row>
    <row r="419132" spans="1:13" x14ac:dyDescent="0.25">
      <c r="A419132" s="6">
        <v>46142.458333333336</v>
      </c>
      <c r="B419132" s="11">
        <f t="shared" si="107"/>
        <v>4</v>
      </c>
      <c r="C419132" s="11">
        <f t="shared" si="108"/>
        <v>18</v>
      </c>
      <c r="D419132" s="5" t="s">
        <v>18</v>
      </c>
      <c r="E419132" s="11" t="s">
        <v>14</v>
      </c>
      <c r="F419132" s="9" t="s">
        <v>15</v>
      </c>
      <c r="G419132">
        <v>1</v>
      </c>
      <c r="J419132" s="7">
        <v>0.24</v>
      </c>
      <c r="K419132" s="11">
        <f t="shared" si="109"/>
        <v>2026</v>
      </c>
      <c r="L419132" t="s">
        <v>25</v>
      </c>
      <c r="M419132" t="s">
        <v>17</v>
      </c>
    </row>
    <row r="419133" spans="1:13" x14ac:dyDescent="0.25">
      <c r="A419133" s="6">
        <v>46139.791666666664</v>
      </c>
      <c r="B419133" s="11">
        <f t="shared" si="107"/>
        <v>4</v>
      </c>
      <c r="C419133" s="11">
        <f t="shared" si="108"/>
        <v>18</v>
      </c>
      <c r="D419133" s="5" t="s">
        <v>18</v>
      </c>
      <c r="E419133" s="11" t="s">
        <v>14</v>
      </c>
      <c r="F419133" s="9" t="s">
        <v>15</v>
      </c>
      <c r="G419133">
        <v>1</v>
      </c>
      <c r="J419133" s="7">
        <v>1.7569999999999999</v>
      </c>
      <c r="K419133" s="11">
        <f t="shared" si="109"/>
        <v>2026</v>
      </c>
      <c r="L419133" t="s">
        <v>25</v>
      </c>
      <c r="M419133" t="s">
        <v>17</v>
      </c>
    </row>
    <row r="419134" spans="1:13" x14ac:dyDescent="0.25">
      <c r="A419134" s="6">
        <v>46138</v>
      </c>
      <c r="B419134" s="11">
        <f t="shared" si="107"/>
        <v>4</v>
      </c>
      <c r="C419134" s="11">
        <f t="shared" si="108"/>
        <v>18</v>
      </c>
      <c r="D419134" s="5" t="s">
        <v>19</v>
      </c>
      <c r="E419134" s="11" t="s">
        <v>14</v>
      </c>
      <c r="F419134" s="9" t="s">
        <v>22</v>
      </c>
      <c r="G419134">
        <v>1</v>
      </c>
      <c r="J419134" s="7">
        <v>3.0880000000000001</v>
      </c>
      <c r="K419134" s="11">
        <f t="shared" si="109"/>
        <v>2026</v>
      </c>
      <c r="L419134" t="s">
        <v>25</v>
      </c>
      <c r="M419134" t="s">
        <v>17</v>
      </c>
    </row>
    <row r="419135" spans="1:13" x14ac:dyDescent="0.25">
      <c r="A419135" s="6">
        <v>46144</v>
      </c>
      <c r="B419135" s="11">
        <f t="shared" si="107"/>
        <v>5</v>
      </c>
      <c r="C419135" s="11">
        <f t="shared" si="108"/>
        <v>18</v>
      </c>
      <c r="D419135" s="5" t="s">
        <v>18</v>
      </c>
      <c r="E419135" s="11" t="s">
        <v>14</v>
      </c>
      <c r="F419135" s="9" t="s">
        <v>22</v>
      </c>
      <c r="G419135">
        <v>1</v>
      </c>
      <c r="J419135" s="7">
        <v>4.24</v>
      </c>
      <c r="K419135" s="11">
        <f t="shared" si="109"/>
        <v>2026</v>
      </c>
      <c r="L419135" t="s">
        <v>25</v>
      </c>
      <c r="M419135" t="s">
        <v>17</v>
      </c>
    </row>
    <row r="419136" spans="1:13" x14ac:dyDescent="0.25">
      <c r="A419136" s="6">
        <v>46139.791666666664</v>
      </c>
      <c r="B419136" s="11">
        <f t="shared" si="107"/>
        <v>4</v>
      </c>
      <c r="C419136" s="11">
        <f t="shared" si="108"/>
        <v>18</v>
      </c>
      <c r="D419136" s="5" t="s">
        <v>13</v>
      </c>
      <c r="E419136" s="11" t="s">
        <v>14</v>
      </c>
      <c r="F419136" s="9" t="s">
        <v>15</v>
      </c>
      <c r="G419136">
        <v>1</v>
      </c>
      <c r="J419136" s="7">
        <v>2.484</v>
      </c>
      <c r="K419136" s="11">
        <f t="shared" si="109"/>
        <v>2026</v>
      </c>
      <c r="L419136" t="s">
        <v>25</v>
      </c>
      <c r="M419136" t="s">
        <v>17</v>
      </c>
    </row>
    <row r="419137" spans="1:13" x14ac:dyDescent="0.25">
      <c r="A419137" s="6">
        <v>46139.791666666664</v>
      </c>
      <c r="B419137" s="11">
        <f t="shared" si="107"/>
        <v>4</v>
      </c>
      <c r="C419137" s="11">
        <f t="shared" si="108"/>
        <v>18</v>
      </c>
      <c r="D419137" s="5" t="s">
        <v>18</v>
      </c>
      <c r="E419137" s="11" t="s">
        <v>14</v>
      </c>
      <c r="F419137" s="9" t="s">
        <v>15</v>
      </c>
      <c r="G419137">
        <v>1</v>
      </c>
      <c r="J419137" s="7">
        <v>10.14</v>
      </c>
      <c r="K419137" s="11">
        <f t="shared" si="109"/>
        <v>2026</v>
      </c>
      <c r="L419137" t="s">
        <v>25</v>
      </c>
      <c r="M419137" t="s">
        <v>17</v>
      </c>
    </row>
    <row r="419138" spans="1:13" x14ac:dyDescent="0.25">
      <c r="A419138" s="6">
        <v>46139.791666666664</v>
      </c>
      <c r="B419138" s="11">
        <f t="shared" si="107"/>
        <v>4</v>
      </c>
      <c r="C419138" s="11">
        <f t="shared" si="108"/>
        <v>18</v>
      </c>
      <c r="D419138" s="5" t="s">
        <v>18</v>
      </c>
      <c r="E419138" s="11" t="s">
        <v>14</v>
      </c>
      <c r="F419138" s="9" t="s">
        <v>15</v>
      </c>
      <c r="G419138">
        <v>1</v>
      </c>
      <c r="J419138" s="7">
        <v>3.06</v>
      </c>
      <c r="K419138" s="11">
        <f t="shared" si="109"/>
        <v>2026</v>
      </c>
      <c r="L419138" t="s">
        <v>25</v>
      </c>
      <c r="M419138" t="s">
        <v>17</v>
      </c>
    </row>
    <row r="419139" spans="1:13" x14ac:dyDescent="0.25">
      <c r="A419139" s="6">
        <v>46138</v>
      </c>
      <c r="B419139" s="11">
        <f t="shared" si="107"/>
        <v>4</v>
      </c>
      <c r="C419139" s="11">
        <f t="shared" si="108"/>
        <v>18</v>
      </c>
      <c r="D419139" s="5" t="s">
        <v>19</v>
      </c>
      <c r="E419139" s="11" t="s">
        <v>14</v>
      </c>
      <c r="F419139" s="9" t="s">
        <v>22</v>
      </c>
      <c r="G419139">
        <v>1</v>
      </c>
      <c r="J419139" s="7">
        <v>1.77</v>
      </c>
      <c r="K419139" s="11">
        <f t="shared" si="109"/>
        <v>2026</v>
      </c>
      <c r="L419139" t="s">
        <v>25</v>
      </c>
      <c r="M419139" t="s">
        <v>17</v>
      </c>
    </row>
    <row r="419140" spans="1:13" x14ac:dyDescent="0.25">
      <c r="A419140" s="6">
        <v>46142.458333333336</v>
      </c>
      <c r="B419140" s="11">
        <f t="shared" si="107"/>
        <v>4</v>
      </c>
      <c r="C419140" s="11">
        <f t="shared" si="108"/>
        <v>18</v>
      </c>
      <c r="D419140" s="5" t="s">
        <v>13</v>
      </c>
      <c r="E419140" s="11" t="s">
        <v>14</v>
      </c>
      <c r="F419140" s="9" t="s">
        <v>15</v>
      </c>
      <c r="G419140">
        <v>1</v>
      </c>
      <c r="J419140" s="7">
        <v>2.2290000000000001</v>
      </c>
      <c r="K419140" s="11">
        <f t="shared" si="109"/>
        <v>2026</v>
      </c>
      <c r="L419140" t="s">
        <v>25</v>
      </c>
      <c r="M419140" t="s">
        <v>17</v>
      </c>
    </row>
    <row r="419141" spans="1:13" x14ac:dyDescent="0.25">
      <c r="A419141" s="6">
        <v>46139.791666666664</v>
      </c>
      <c r="B419141" s="11">
        <f t="shared" si="107"/>
        <v>4</v>
      </c>
      <c r="C419141" s="11">
        <f t="shared" si="108"/>
        <v>18</v>
      </c>
      <c r="D419141" s="5" t="s">
        <v>18</v>
      </c>
      <c r="E419141" s="11" t="s">
        <v>14</v>
      </c>
      <c r="F419141" s="9" t="s">
        <v>15</v>
      </c>
      <c r="G419141">
        <v>1</v>
      </c>
      <c r="J419141" s="7">
        <v>0.94</v>
      </c>
      <c r="K419141" s="11">
        <f t="shared" si="109"/>
        <v>2026</v>
      </c>
      <c r="L419141" t="s">
        <v>25</v>
      </c>
      <c r="M419141" t="s">
        <v>17</v>
      </c>
    </row>
    <row r="419142" spans="1:13" x14ac:dyDescent="0.25">
      <c r="A419142" s="6">
        <v>46142</v>
      </c>
      <c r="B419142" s="11">
        <f t="shared" si="107"/>
        <v>4</v>
      </c>
      <c r="C419142" s="11">
        <f t="shared" si="108"/>
        <v>18</v>
      </c>
      <c r="D419142" s="5" t="s">
        <v>13</v>
      </c>
      <c r="E419142" s="11" t="s">
        <v>14</v>
      </c>
      <c r="F419142" s="9" t="s">
        <v>22</v>
      </c>
      <c r="G419142">
        <v>1</v>
      </c>
      <c r="J419142" s="7">
        <v>1.86</v>
      </c>
      <c r="K419142" s="11">
        <f t="shared" si="109"/>
        <v>2026</v>
      </c>
      <c r="L419142" t="s">
        <v>25</v>
      </c>
      <c r="M419142" t="s">
        <v>17</v>
      </c>
    </row>
    <row r="419143" spans="1:13" x14ac:dyDescent="0.25">
      <c r="A419143" s="6">
        <v>46139</v>
      </c>
      <c r="B419143" s="11">
        <f t="shared" si="107"/>
        <v>4</v>
      </c>
      <c r="C419143" s="11">
        <f t="shared" si="108"/>
        <v>18</v>
      </c>
      <c r="D419143" s="5" t="s">
        <v>13</v>
      </c>
      <c r="E419143" s="11" t="s">
        <v>14</v>
      </c>
      <c r="F419143" s="9" t="s">
        <v>22</v>
      </c>
      <c r="G419143">
        <v>1</v>
      </c>
      <c r="J419143" s="7">
        <v>3.919</v>
      </c>
      <c r="K419143" s="11">
        <f t="shared" si="109"/>
        <v>2026</v>
      </c>
      <c r="L419143" t="s">
        <v>25</v>
      </c>
      <c r="M419143" t="s">
        <v>17</v>
      </c>
    </row>
    <row r="419144" spans="1:13" x14ac:dyDescent="0.25">
      <c r="A419144" s="6">
        <v>46143.791666666664</v>
      </c>
      <c r="B419144" s="11">
        <f t="shared" si="107"/>
        <v>5</v>
      </c>
      <c r="C419144" s="11">
        <f t="shared" si="108"/>
        <v>18</v>
      </c>
      <c r="D419144" s="5" t="s">
        <v>13</v>
      </c>
      <c r="E419144" s="11" t="s">
        <v>14</v>
      </c>
      <c r="F419144" s="9" t="s">
        <v>15</v>
      </c>
      <c r="G419144">
        <v>1</v>
      </c>
      <c r="J419144" s="7">
        <v>9.125</v>
      </c>
      <c r="K419144" s="11">
        <f t="shared" si="109"/>
        <v>2026</v>
      </c>
      <c r="L419144" t="s">
        <v>25</v>
      </c>
      <c r="M419144" t="s">
        <v>17</v>
      </c>
    </row>
    <row r="419145" spans="1:13" x14ac:dyDescent="0.25">
      <c r="A419145" s="6">
        <v>46142</v>
      </c>
      <c r="B419145" s="11">
        <f t="shared" si="107"/>
        <v>4</v>
      </c>
      <c r="C419145" s="11">
        <f t="shared" si="108"/>
        <v>18</v>
      </c>
      <c r="D419145" s="5" t="s">
        <v>13</v>
      </c>
      <c r="E419145" s="11" t="s">
        <v>14</v>
      </c>
      <c r="F419145" s="9" t="s">
        <v>22</v>
      </c>
      <c r="G419145">
        <v>1</v>
      </c>
      <c r="J419145" s="7">
        <v>1.89</v>
      </c>
      <c r="K419145" s="11">
        <f t="shared" si="109"/>
        <v>2026</v>
      </c>
      <c r="L419145" t="s">
        <v>25</v>
      </c>
      <c r="M419145" t="s">
        <v>17</v>
      </c>
    </row>
    <row r="419146" spans="1:13" x14ac:dyDescent="0.25">
      <c r="A419146" s="6">
        <v>46143</v>
      </c>
      <c r="B419146" s="11">
        <f t="shared" si="107"/>
        <v>5</v>
      </c>
      <c r="C419146" s="11">
        <f t="shared" si="108"/>
        <v>18</v>
      </c>
      <c r="D419146" s="5" t="s">
        <v>13</v>
      </c>
      <c r="E419146" s="11" t="s">
        <v>14</v>
      </c>
      <c r="F419146" s="9" t="s">
        <v>22</v>
      </c>
      <c r="G419146">
        <v>1</v>
      </c>
      <c r="J419146" s="7">
        <v>1.2</v>
      </c>
      <c r="K419146" s="11">
        <f t="shared" si="109"/>
        <v>2026</v>
      </c>
      <c r="L419146" t="s">
        <v>25</v>
      </c>
      <c r="M419146" t="s">
        <v>17</v>
      </c>
    </row>
    <row r="419147" spans="1:13" x14ac:dyDescent="0.25">
      <c r="A419147" s="6">
        <v>46140</v>
      </c>
      <c r="B419147" s="11">
        <f t="shared" si="107"/>
        <v>4</v>
      </c>
      <c r="C419147" s="11">
        <f t="shared" si="108"/>
        <v>18</v>
      </c>
      <c r="D419147" s="5" t="s">
        <v>13</v>
      </c>
      <c r="E419147" s="11" t="s">
        <v>14</v>
      </c>
      <c r="F419147" s="9" t="s">
        <v>22</v>
      </c>
      <c r="G419147">
        <v>1</v>
      </c>
      <c r="J419147" s="7">
        <v>1.44</v>
      </c>
      <c r="K419147" s="11">
        <f t="shared" si="109"/>
        <v>2026</v>
      </c>
      <c r="L419147" t="s">
        <v>25</v>
      </c>
      <c r="M419147" t="s">
        <v>17</v>
      </c>
    </row>
    <row r="419148" spans="1:13" x14ac:dyDescent="0.25">
      <c r="A419148" s="6">
        <v>46142.291666666664</v>
      </c>
      <c r="B419148" s="11">
        <f t="shared" si="107"/>
        <v>4</v>
      </c>
      <c r="C419148" s="11">
        <f t="shared" si="108"/>
        <v>18</v>
      </c>
      <c r="D419148" s="5" t="s">
        <v>13</v>
      </c>
      <c r="E419148" s="11" t="s">
        <v>14</v>
      </c>
      <c r="F419148" s="9" t="s">
        <v>15</v>
      </c>
      <c r="G419148">
        <v>1</v>
      </c>
      <c r="J419148" s="7">
        <v>12.816000000000001</v>
      </c>
      <c r="K419148" s="11">
        <f t="shared" si="109"/>
        <v>2026</v>
      </c>
      <c r="L419148" t="s">
        <v>25</v>
      </c>
      <c r="M419148" t="s">
        <v>17</v>
      </c>
    </row>
    <row r="419149" spans="1:13" x14ac:dyDescent="0.25">
      <c r="A419149" s="6">
        <v>46142.291666666664</v>
      </c>
      <c r="B419149" s="11">
        <f t="shared" si="107"/>
        <v>4</v>
      </c>
      <c r="C419149" s="11">
        <f t="shared" si="108"/>
        <v>18</v>
      </c>
      <c r="D419149" s="5" t="s">
        <v>13</v>
      </c>
      <c r="E419149" s="11" t="s">
        <v>14</v>
      </c>
      <c r="F419149" s="9" t="s">
        <v>15</v>
      </c>
      <c r="G419149">
        <v>1</v>
      </c>
      <c r="J419149" s="7">
        <v>8.0120000000000005</v>
      </c>
      <c r="K419149" s="11">
        <f t="shared" si="109"/>
        <v>2026</v>
      </c>
      <c r="L419149" t="s">
        <v>25</v>
      </c>
      <c r="M419149" t="s">
        <v>17</v>
      </c>
    </row>
    <row r="419150" spans="1:13" x14ac:dyDescent="0.25">
      <c r="A419150" s="6">
        <v>46142.291666666664</v>
      </c>
      <c r="B419150" s="11">
        <f t="shared" si="107"/>
        <v>4</v>
      </c>
      <c r="C419150" s="11">
        <f t="shared" si="108"/>
        <v>18</v>
      </c>
      <c r="D419150" s="5" t="s">
        <v>13</v>
      </c>
      <c r="E419150" s="11" t="s">
        <v>14</v>
      </c>
      <c r="F419150" s="9" t="s">
        <v>15</v>
      </c>
      <c r="G419150">
        <v>1</v>
      </c>
      <c r="J419150" s="7">
        <v>1.5009999999999999</v>
      </c>
      <c r="K419150" s="11">
        <f t="shared" si="109"/>
        <v>2026</v>
      </c>
      <c r="L419150" t="s">
        <v>25</v>
      </c>
      <c r="M419150" t="s">
        <v>17</v>
      </c>
    </row>
    <row r="419151" spans="1:13" x14ac:dyDescent="0.25">
      <c r="A419151" s="6">
        <v>46142.291666666664</v>
      </c>
      <c r="B419151" s="11">
        <f t="shared" si="107"/>
        <v>4</v>
      </c>
      <c r="C419151" s="11">
        <f t="shared" si="108"/>
        <v>18</v>
      </c>
      <c r="D419151" s="5" t="s">
        <v>13</v>
      </c>
      <c r="E419151" s="11" t="s">
        <v>14</v>
      </c>
      <c r="F419151" s="9" t="s">
        <v>15</v>
      </c>
      <c r="G419151">
        <v>1</v>
      </c>
      <c r="J419151" s="7">
        <v>3.181</v>
      </c>
      <c r="K419151" s="11">
        <f t="shared" si="109"/>
        <v>2026</v>
      </c>
      <c r="L419151" t="s">
        <v>25</v>
      </c>
      <c r="M419151" t="s">
        <v>17</v>
      </c>
    </row>
    <row r="419152" spans="1:13" x14ac:dyDescent="0.25">
      <c r="A419152" s="6">
        <v>46141</v>
      </c>
      <c r="B419152" s="11">
        <f t="shared" si="107"/>
        <v>4</v>
      </c>
      <c r="C419152" s="11">
        <f t="shared" si="108"/>
        <v>18</v>
      </c>
      <c r="D419152" s="5" t="s">
        <v>23</v>
      </c>
      <c r="E419152" s="11" t="s">
        <v>14</v>
      </c>
      <c r="F419152" s="9" t="s">
        <v>22</v>
      </c>
      <c r="G419152">
        <v>1</v>
      </c>
      <c r="J419152" s="7">
        <v>5.976</v>
      </c>
      <c r="K419152" s="11">
        <f t="shared" si="109"/>
        <v>2026</v>
      </c>
      <c r="L419152" t="s">
        <v>25</v>
      </c>
      <c r="M419152" t="s">
        <v>17</v>
      </c>
    </row>
    <row r="419153" spans="1:13" x14ac:dyDescent="0.25">
      <c r="A419153" s="6">
        <v>46143.584722222222</v>
      </c>
      <c r="B419153" s="11">
        <f t="shared" si="107"/>
        <v>5</v>
      </c>
      <c r="C419153" s="11">
        <f t="shared" si="108"/>
        <v>18</v>
      </c>
      <c r="D419153" s="5" t="s">
        <v>13</v>
      </c>
      <c r="E419153" s="11" t="s">
        <v>14</v>
      </c>
      <c r="F419153" s="9" t="s">
        <v>22</v>
      </c>
      <c r="G419153">
        <v>1</v>
      </c>
      <c r="J419153" s="7">
        <v>0.79600000000000004</v>
      </c>
      <c r="K419153" s="11">
        <f t="shared" si="109"/>
        <v>2026</v>
      </c>
      <c r="L419153" t="s">
        <v>25</v>
      </c>
      <c r="M419153" t="s">
        <v>17</v>
      </c>
    </row>
    <row r="419154" spans="1:13" x14ac:dyDescent="0.25">
      <c r="A419154" s="6">
        <v>46143.584722222222</v>
      </c>
      <c r="B419154" s="11">
        <f t="shared" si="107"/>
        <v>5</v>
      </c>
      <c r="C419154" s="11">
        <f t="shared" si="108"/>
        <v>18</v>
      </c>
      <c r="D419154" s="5" t="s">
        <v>13</v>
      </c>
      <c r="E419154" s="11" t="s">
        <v>14</v>
      </c>
      <c r="F419154" s="9" t="s">
        <v>22</v>
      </c>
      <c r="G419154">
        <v>1</v>
      </c>
      <c r="J419154" s="7">
        <v>1.9350000000000001</v>
      </c>
      <c r="K419154" s="11">
        <f t="shared" si="109"/>
        <v>2026</v>
      </c>
      <c r="L419154" t="s">
        <v>25</v>
      </c>
      <c r="M419154" t="s">
        <v>17</v>
      </c>
    </row>
    <row r="419155" spans="1:13" x14ac:dyDescent="0.25">
      <c r="A419155" s="6">
        <v>46143.584722222222</v>
      </c>
      <c r="B419155" s="11">
        <f t="shared" si="107"/>
        <v>5</v>
      </c>
      <c r="C419155" s="11">
        <f t="shared" si="108"/>
        <v>18</v>
      </c>
      <c r="D419155" s="5" t="s">
        <v>13</v>
      </c>
      <c r="E419155" s="11" t="s">
        <v>14</v>
      </c>
      <c r="F419155" s="9" t="s">
        <v>22</v>
      </c>
      <c r="G419155">
        <v>1</v>
      </c>
      <c r="J419155" s="7">
        <v>1.9350000000000001</v>
      </c>
      <c r="K419155" s="11">
        <f t="shared" si="109"/>
        <v>2026</v>
      </c>
      <c r="L419155" t="s">
        <v>25</v>
      </c>
      <c r="M419155" t="s">
        <v>17</v>
      </c>
    </row>
    <row r="419156" spans="1:13" x14ac:dyDescent="0.25">
      <c r="A419156" s="6">
        <v>46142.291666666664</v>
      </c>
      <c r="B419156" s="11">
        <f t="shared" si="107"/>
        <v>4</v>
      </c>
      <c r="C419156" s="11">
        <f t="shared" si="108"/>
        <v>18</v>
      </c>
      <c r="D419156" s="5" t="s">
        <v>18</v>
      </c>
      <c r="E419156" s="11" t="s">
        <v>14</v>
      </c>
      <c r="F419156" s="9" t="s">
        <v>15</v>
      </c>
      <c r="G419156">
        <v>1</v>
      </c>
      <c r="J419156" s="7">
        <v>2.3759999999999999</v>
      </c>
      <c r="K419156" s="11">
        <f t="shared" si="109"/>
        <v>2026</v>
      </c>
      <c r="L419156" t="s">
        <v>25</v>
      </c>
      <c r="M419156" t="s">
        <v>17</v>
      </c>
    </row>
    <row r="419157" spans="1:13" x14ac:dyDescent="0.25">
      <c r="A419157" s="6">
        <v>46139.791666666664</v>
      </c>
      <c r="B419157" s="11">
        <f t="shared" si="107"/>
        <v>4</v>
      </c>
      <c r="C419157" s="11">
        <f t="shared" si="108"/>
        <v>18</v>
      </c>
      <c r="D419157" s="5" t="s">
        <v>13</v>
      </c>
      <c r="E419157" s="11" t="s">
        <v>14</v>
      </c>
      <c r="F419157" s="9" t="s">
        <v>15</v>
      </c>
      <c r="G419157">
        <v>1</v>
      </c>
      <c r="J419157" s="7">
        <v>1.93</v>
      </c>
      <c r="K419157" s="11">
        <f t="shared" si="109"/>
        <v>2026</v>
      </c>
      <c r="L419157" t="s">
        <v>25</v>
      </c>
      <c r="M419157" t="s">
        <v>17</v>
      </c>
    </row>
    <row r="419158" spans="1:13" x14ac:dyDescent="0.25">
      <c r="A419158" s="6">
        <v>46139.791666666664</v>
      </c>
      <c r="B419158" s="11">
        <f t="shared" si="107"/>
        <v>4</v>
      </c>
      <c r="C419158" s="11">
        <f t="shared" si="108"/>
        <v>18</v>
      </c>
      <c r="D419158" s="5" t="s">
        <v>13</v>
      </c>
      <c r="E419158" s="11" t="s">
        <v>14</v>
      </c>
      <c r="F419158" s="9" t="s">
        <v>15</v>
      </c>
      <c r="G419158">
        <v>1</v>
      </c>
      <c r="J419158" s="7">
        <v>16.744</v>
      </c>
      <c r="K419158" s="11">
        <f t="shared" si="109"/>
        <v>2026</v>
      </c>
      <c r="L419158" t="s">
        <v>25</v>
      </c>
      <c r="M419158" t="s">
        <v>17</v>
      </c>
    </row>
    <row r="419159" spans="1:13" x14ac:dyDescent="0.25">
      <c r="A419159" s="6">
        <v>46140</v>
      </c>
      <c r="B419159" s="11">
        <f t="shared" si="107"/>
        <v>4</v>
      </c>
      <c r="C419159" s="11">
        <f t="shared" si="108"/>
        <v>18</v>
      </c>
      <c r="D419159" s="5" t="s">
        <v>13</v>
      </c>
      <c r="E419159" s="11" t="s">
        <v>14</v>
      </c>
      <c r="F419159" s="9" t="s">
        <v>22</v>
      </c>
      <c r="G419159">
        <v>1</v>
      </c>
      <c r="J419159" s="7">
        <v>7.0750000000000002</v>
      </c>
      <c r="K419159" s="11">
        <f t="shared" si="109"/>
        <v>2026</v>
      </c>
      <c r="L419159" t="s">
        <v>25</v>
      </c>
      <c r="M419159" t="s">
        <v>17</v>
      </c>
    </row>
    <row r="419160" spans="1:13" x14ac:dyDescent="0.25">
      <c r="A419160" s="6">
        <v>46138</v>
      </c>
      <c r="B419160" s="11">
        <f t="shared" si="107"/>
        <v>4</v>
      </c>
      <c r="C419160" s="11">
        <f t="shared" si="108"/>
        <v>18</v>
      </c>
      <c r="D419160" s="5" t="s">
        <v>13</v>
      </c>
      <c r="E419160" s="11" t="s">
        <v>14</v>
      </c>
      <c r="F419160" s="9" t="s">
        <v>22</v>
      </c>
      <c r="G419160">
        <v>1</v>
      </c>
      <c r="J419160" s="7">
        <v>2.8</v>
      </c>
      <c r="K419160" s="11">
        <f t="shared" si="109"/>
        <v>2026</v>
      </c>
      <c r="L419160" t="s">
        <v>25</v>
      </c>
      <c r="M419160" t="s">
        <v>17</v>
      </c>
    </row>
    <row r="419161" spans="1:13" x14ac:dyDescent="0.25">
      <c r="A419161" s="6">
        <v>46139</v>
      </c>
      <c r="B419161" s="11">
        <f t="shared" si="107"/>
        <v>4</v>
      </c>
      <c r="C419161" s="11">
        <f t="shared" si="108"/>
        <v>18</v>
      </c>
      <c r="D419161" s="5" t="s">
        <v>13</v>
      </c>
      <c r="E419161" s="11" t="s">
        <v>14</v>
      </c>
      <c r="F419161" s="9" t="s">
        <v>22</v>
      </c>
      <c r="G419161">
        <v>1</v>
      </c>
      <c r="J419161" s="7">
        <v>0.254</v>
      </c>
      <c r="K419161" s="11">
        <f t="shared" si="109"/>
        <v>2026</v>
      </c>
      <c r="L419161" t="s">
        <v>25</v>
      </c>
      <c r="M419161" t="s">
        <v>17</v>
      </c>
    </row>
    <row r="419162" spans="1:13" x14ac:dyDescent="0.25">
      <c r="A419162" s="6">
        <v>46138</v>
      </c>
      <c r="B419162" s="11">
        <f t="shared" si="107"/>
        <v>4</v>
      </c>
      <c r="C419162" s="11">
        <f t="shared" si="108"/>
        <v>18</v>
      </c>
      <c r="D419162" s="5" t="s">
        <v>13</v>
      </c>
      <c r="E419162" s="11" t="s">
        <v>14</v>
      </c>
      <c r="F419162" s="9" t="s">
        <v>22</v>
      </c>
      <c r="G419162">
        <v>1</v>
      </c>
      <c r="J419162" s="7">
        <v>1.456</v>
      </c>
      <c r="K419162" s="11">
        <f t="shared" si="109"/>
        <v>2026</v>
      </c>
      <c r="L419162" t="s">
        <v>25</v>
      </c>
      <c r="M419162" t="s">
        <v>17</v>
      </c>
    </row>
    <row r="419163" spans="1:13" x14ac:dyDescent="0.25">
      <c r="A419163" s="6">
        <v>46139</v>
      </c>
      <c r="B419163" s="11">
        <f t="shared" si="107"/>
        <v>4</v>
      </c>
      <c r="C419163" s="11">
        <f t="shared" si="108"/>
        <v>18</v>
      </c>
      <c r="D419163" s="5" t="s">
        <v>13</v>
      </c>
      <c r="E419163" s="11" t="s">
        <v>14</v>
      </c>
      <c r="F419163" s="9" t="s">
        <v>22</v>
      </c>
      <c r="G419163">
        <v>1</v>
      </c>
      <c r="J419163" s="7">
        <v>0.371</v>
      </c>
      <c r="K419163" s="11">
        <f t="shared" si="109"/>
        <v>2026</v>
      </c>
      <c r="L419163" t="s">
        <v>25</v>
      </c>
      <c r="M419163" t="s">
        <v>17</v>
      </c>
    </row>
    <row r="419164" spans="1:13" x14ac:dyDescent="0.25">
      <c r="A419164" s="6">
        <v>46139.791666666664</v>
      </c>
      <c r="B419164" s="11">
        <f t="shared" si="107"/>
        <v>4</v>
      </c>
      <c r="C419164" s="11">
        <f t="shared" si="108"/>
        <v>18</v>
      </c>
      <c r="D419164" s="5" t="s">
        <v>18</v>
      </c>
      <c r="E419164" s="11" t="s">
        <v>14</v>
      </c>
      <c r="F419164" s="9" t="s">
        <v>15</v>
      </c>
      <c r="G419164">
        <v>1</v>
      </c>
      <c r="J419164" s="7">
        <v>0.48</v>
      </c>
      <c r="K419164" s="11">
        <f t="shared" si="109"/>
        <v>2026</v>
      </c>
      <c r="L419164" t="s">
        <v>25</v>
      </c>
      <c r="M419164" t="s">
        <v>17</v>
      </c>
    </row>
    <row r="419165" spans="1:13" x14ac:dyDescent="0.25">
      <c r="A419165" s="6">
        <v>46142.458333333336</v>
      </c>
      <c r="B419165" s="11">
        <f t="shared" si="107"/>
        <v>4</v>
      </c>
      <c r="C419165" s="11">
        <f t="shared" si="108"/>
        <v>18</v>
      </c>
      <c r="D419165" s="5" t="s">
        <v>13</v>
      </c>
      <c r="E419165" s="11" t="s">
        <v>14</v>
      </c>
      <c r="F419165" s="9" t="s">
        <v>15</v>
      </c>
      <c r="G419165">
        <v>1</v>
      </c>
      <c r="J419165" s="7">
        <v>0.57599999999999996</v>
      </c>
      <c r="K419165" s="11">
        <f t="shared" si="109"/>
        <v>2026</v>
      </c>
      <c r="L419165" t="s">
        <v>25</v>
      </c>
      <c r="M419165" t="s">
        <v>17</v>
      </c>
    </row>
    <row r="419166" spans="1:13" x14ac:dyDescent="0.25">
      <c r="A419166" s="6">
        <v>46142.458333333336</v>
      </c>
      <c r="B419166" s="11">
        <f t="shared" si="107"/>
        <v>4</v>
      </c>
      <c r="C419166" s="11">
        <f t="shared" si="108"/>
        <v>18</v>
      </c>
      <c r="D419166" s="5" t="s">
        <v>13</v>
      </c>
      <c r="E419166" s="11" t="s">
        <v>14</v>
      </c>
      <c r="F419166" s="9" t="s">
        <v>15</v>
      </c>
      <c r="G419166">
        <v>1</v>
      </c>
      <c r="J419166" s="7">
        <v>6.0359999999999996</v>
      </c>
      <c r="K419166" s="11">
        <f t="shared" si="109"/>
        <v>2026</v>
      </c>
      <c r="L419166" t="s">
        <v>25</v>
      </c>
      <c r="M419166" t="s">
        <v>17</v>
      </c>
    </row>
    <row r="419167" spans="1:13" x14ac:dyDescent="0.25">
      <c r="A419167" s="6">
        <v>46141</v>
      </c>
      <c r="B419167" s="11">
        <f t="shared" si="107"/>
        <v>4</v>
      </c>
      <c r="C419167" s="11">
        <f t="shared" si="108"/>
        <v>18</v>
      </c>
      <c r="D419167" s="5" t="s">
        <v>20</v>
      </c>
      <c r="E419167" s="11" t="s">
        <v>14</v>
      </c>
      <c r="F419167" s="9" t="s">
        <v>22</v>
      </c>
      <c r="G419167">
        <v>1</v>
      </c>
      <c r="J419167" s="7">
        <v>1.73</v>
      </c>
      <c r="K419167" s="11">
        <f t="shared" si="109"/>
        <v>2026</v>
      </c>
      <c r="L419167" t="s">
        <v>25</v>
      </c>
      <c r="M419167" t="s">
        <v>17</v>
      </c>
    </row>
    <row r="419168" spans="1:13" x14ac:dyDescent="0.25">
      <c r="A419168" s="6">
        <v>46142.291666666664</v>
      </c>
      <c r="B419168" s="11">
        <f t="shared" si="107"/>
        <v>4</v>
      </c>
      <c r="C419168" s="11">
        <f t="shared" si="108"/>
        <v>18</v>
      </c>
      <c r="D419168" s="5" t="s">
        <v>13</v>
      </c>
      <c r="E419168" s="11" t="s">
        <v>14</v>
      </c>
      <c r="F419168" s="9" t="s">
        <v>15</v>
      </c>
      <c r="G419168">
        <v>1</v>
      </c>
      <c r="J419168" s="7">
        <v>0.53900000000000003</v>
      </c>
      <c r="K419168" s="11">
        <f t="shared" si="109"/>
        <v>2026</v>
      </c>
      <c r="L419168" t="s">
        <v>25</v>
      </c>
      <c r="M419168" t="s">
        <v>17</v>
      </c>
    </row>
    <row r="419169" spans="1:13" x14ac:dyDescent="0.25">
      <c r="A419169" s="6">
        <v>46142</v>
      </c>
      <c r="B419169" s="11">
        <f t="shared" si="107"/>
        <v>4</v>
      </c>
      <c r="C419169" s="11">
        <f t="shared" si="108"/>
        <v>18</v>
      </c>
      <c r="D419169" s="5" t="s">
        <v>19</v>
      </c>
      <c r="E419169" s="11" t="s">
        <v>14</v>
      </c>
      <c r="F419169" s="9" t="s">
        <v>22</v>
      </c>
      <c r="G419169">
        <v>1</v>
      </c>
      <c r="J419169" s="7">
        <v>0.51800000000000002</v>
      </c>
      <c r="K419169" s="11">
        <f t="shared" si="109"/>
        <v>2026</v>
      </c>
      <c r="L419169" t="s">
        <v>25</v>
      </c>
      <c r="M419169" t="s">
        <v>17</v>
      </c>
    </row>
    <row r="419170" spans="1:13" x14ac:dyDescent="0.25">
      <c r="A419170" s="6">
        <v>46139.390972222223</v>
      </c>
      <c r="B419170" s="11">
        <f t="shared" si="107"/>
        <v>4</v>
      </c>
      <c r="C419170" s="11">
        <f t="shared" si="108"/>
        <v>18</v>
      </c>
      <c r="D419170" s="5" t="s">
        <v>19</v>
      </c>
      <c r="E419170" s="11" t="s">
        <v>14</v>
      </c>
      <c r="F419170" s="9" t="s">
        <v>22</v>
      </c>
      <c r="G419170">
        <v>1</v>
      </c>
      <c r="J419170" s="7">
        <v>0.96799999999999997</v>
      </c>
      <c r="K419170" s="11">
        <f t="shared" si="109"/>
        <v>2026</v>
      </c>
      <c r="L419170" t="s">
        <v>25</v>
      </c>
      <c r="M419170" t="s">
        <v>17</v>
      </c>
    </row>
    <row r="419171" spans="1:13" x14ac:dyDescent="0.25">
      <c r="A419171" s="6">
        <v>46139</v>
      </c>
      <c r="B419171" s="11">
        <f t="shared" si="107"/>
        <v>4</v>
      </c>
      <c r="C419171" s="11">
        <f t="shared" si="108"/>
        <v>18</v>
      </c>
      <c r="D419171" s="5" t="s">
        <v>19</v>
      </c>
      <c r="E419171" s="11" t="s">
        <v>14</v>
      </c>
      <c r="F419171" s="9" t="s">
        <v>22</v>
      </c>
      <c r="G419171">
        <v>1</v>
      </c>
      <c r="J419171" s="7">
        <v>1.8819999999999999</v>
      </c>
      <c r="K419171" s="11">
        <f t="shared" si="109"/>
        <v>2026</v>
      </c>
      <c r="L419171" t="s">
        <v>25</v>
      </c>
      <c r="M419171" t="s">
        <v>17</v>
      </c>
    </row>
    <row r="419172" spans="1:13" x14ac:dyDescent="0.25">
      <c r="A419172" s="6">
        <v>46141</v>
      </c>
      <c r="B419172" s="11">
        <f t="shared" si="107"/>
        <v>4</v>
      </c>
      <c r="C419172" s="11">
        <f t="shared" si="108"/>
        <v>18</v>
      </c>
      <c r="D419172" s="5" t="s">
        <v>21</v>
      </c>
      <c r="E419172" s="11" t="s">
        <v>14</v>
      </c>
      <c r="F419172" s="9" t="s">
        <v>22</v>
      </c>
      <c r="G419172">
        <v>1</v>
      </c>
      <c r="J419172" s="7">
        <v>1.2649999999999999</v>
      </c>
      <c r="K419172" s="11">
        <f t="shared" si="109"/>
        <v>2026</v>
      </c>
      <c r="L419172" t="s">
        <v>25</v>
      </c>
      <c r="M419172" t="s">
        <v>17</v>
      </c>
    </row>
    <row r="419173" spans="1:13" x14ac:dyDescent="0.25">
      <c r="A419173" s="6">
        <v>46141.291666666664</v>
      </c>
      <c r="B419173" s="11">
        <f t="shared" si="107"/>
        <v>4</v>
      </c>
      <c r="C419173" s="11">
        <f t="shared" si="108"/>
        <v>18</v>
      </c>
      <c r="D419173" s="5" t="s">
        <v>21</v>
      </c>
      <c r="E419173" s="11" t="s">
        <v>14</v>
      </c>
      <c r="F419173" s="9" t="s">
        <v>22</v>
      </c>
      <c r="G419173">
        <v>1</v>
      </c>
      <c r="J419173" s="7">
        <v>3.1269999999999998</v>
      </c>
      <c r="K419173" s="11">
        <f t="shared" si="109"/>
        <v>2026</v>
      </c>
      <c r="L419173" t="s">
        <v>25</v>
      </c>
      <c r="M419173" t="s">
        <v>17</v>
      </c>
    </row>
    <row r="419174" spans="1:13" x14ac:dyDescent="0.25">
      <c r="A419174" s="6">
        <v>46141</v>
      </c>
      <c r="B419174" s="11">
        <f t="shared" si="107"/>
        <v>4</v>
      </c>
      <c r="C419174" s="11">
        <f t="shared" si="108"/>
        <v>18</v>
      </c>
      <c r="D419174" s="5" t="s">
        <v>20</v>
      </c>
      <c r="E419174" s="11" t="s">
        <v>14</v>
      </c>
      <c r="F419174" s="9" t="s">
        <v>22</v>
      </c>
      <c r="G419174">
        <v>1</v>
      </c>
      <c r="J419174" s="7">
        <v>4.2149999999999999</v>
      </c>
      <c r="K419174" s="11">
        <f t="shared" si="109"/>
        <v>2026</v>
      </c>
      <c r="L419174" t="s">
        <v>25</v>
      </c>
      <c r="M419174" t="s">
        <v>17</v>
      </c>
    </row>
    <row r="419175" spans="1:13" x14ac:dyDescent="0.25">
      <c r="A419175" s="6">
        <v>46143.354166666664</v>
      </c>
      <c r="B419175" s="11">
        <f t="shared" si="107"/>
        <v>5</v>
      </c>
      <c r="C419175" s="11">
        <f t="shared" si="108"/>
        <v>18</v>
      </c>
      <c r="D419175" s="5" t="s">
        <v>23</v>
      </c>
      <c r="E419175" s="11" t="s">
        <v>14</v>
      </c>
      <c r="F419175" s="9" t="s">
        <v>22</v>
      </c>
      <c r="G419175">
        <v>1</v>
      </c>
      <c r="J419175" s="7">
        <v>0.28899999999999998</v>
      </c>
      <c r="K419175" s="11">
        <f t="shared" si="109"/>
        <v>2026</v>
      </c>
      <c r="L419175" t="s">
        <v>25</v>
      </c>
      <c r="M419175" t="s">
        <v>17</v>
      </c>
    </row>
    <row r="419176" spans="1:13" x14ac:dyDescent="0.25">
      <c r="A419176" s="6">
        <v>46143</v>
      </c>
      <c r="B419176" s="11">
        <f t="shared" si="107"/>
        <v>5</v>
      </c>
      <c r="C419176" s="11">
        <f t="shared" si="108"/>
        <v>18</v>
      </c>
      <c r="D419176" s="5" t="s">
        <v>18</v>
      </c>
      <c r="E419176" s="11" t="s">
        <v>14</v>
      </c>
      <c r="F419176" s="9" t="s">
        <v>22</v>
      </c>
      <c r="G419176">
        <v>1</v>
      </c>
      <c r="J419176" s="7">
        <v>0.38400000000000001</v>
      </c>
      <c r="K419176" s="11">
        <f t="shared" si="109"/>
        <v>2026</v>
      </c>
      <c r="L419176" t="s">
        <v>25</v>
      </c>
      <c r="M419176" t="s">
        <v>17</v>
      </c>
    </row>
    <row r="419177" spans="1:13" x14ac:dyDescent="0.25">
      <c r="A419177" s="6">
        <v>46140</v>
      </c>
      <c r="B419177" s="11">
        <f t="shared" si="107"/>
        <v>4</v>
      </c>
      <c r="C419177" s="11">
        <f t="shared" si="108"/>
        <v>18</v>
      </c>
      <c r="D419177" s="5" t="s">
        <v>18</v>
      </c>
      <c r="E419177" s="11" t="s">
        <v>14</v>
      </c>
      <c r="F419177" s="9" t="s">
        <v>22</v>
      </c>
      <c r="G419177">
        <v>1</v>
      </c>
      <c r="J419177" s="7">
        <v>4.5110000000000001</v>
      </c>
      <c r="K419177" s="11">
        <f t="shared" si="109"/>
        <v>2026</v>
      </c>
      <c r="L419177" t="s">
        <v>25</v>
      </c>
      <c r="M419177" t="s">
        <v>17</v>
      </c>
    </row>
    <row r="419178" spans="1:13" x14ac:dyDescent="0.25">
      <c r="A419178" s="6">
        <v>46140.041666666664</v>
      </c>
      <c r="B419178" s="11">
        <f t="shared" si="107"/>
        <v>4</v>
      </c>
      <c r="C419178" s="11">
        <f t="shared" si="108"/>
        <v>18</v>
      </c>
      <c r="D419178" s="5" t="s">
        <v>18</v>
      </c>
      <c r="E419178" s="11" t="s">
        <v>14</v>
      </c>
      <c r="F419178" s="9" t="s">
        <v>22</v>
      </c>
      <c r="G419178">
        <v>1</v>
      </c>
      <c r="J419178" s="7">
        <v>0.97899999999999998</v>
      </c>
      <c r="K419178" s="11">
        <f t="shared" si="109"/>
        <v>2026</v>
      </c>
      <c r="L419178" t="s">
        <v>25</v>
      </c>
      <c r="M419178" t="s">
        <v>17</v>
      </c>
    </row>
    <row r="419179" spans="1:13" x14ac:dyDescent="0.25">
      <c r="A419179" s="6">
        <v>46140</v>
      </c>
      <c r="B419179" s="11">
        <f t="shared" ref="B419179:B419185" si="110">MONTH(A419179)</f>
        <v>4</v>
      </c>
      <c r="C419179" s="11">
        <f t="shared" ref="C419179:C419185" si="111">WEEKNUM(A419179)</f>
        <v>18</v>
      </c>
      <c r="D419179" s="5" t="s">
        <v>24</v>
      </c>
      <c r="E419179" s="11" t="s">
        <v>14</v>
      </c>
      <c r="F419179" s="9" t="s">
        <v>22</v>
      </c>
      <c r="G419179">
        <v>1</v>
      </c>
      <c r="J419179" s="7">
        <v>3.1259999999999999</v>
      </c>
      <c r="K419179" s="11">
        <f t="shared" si="109"/>
        <v>2026</v>
      </c>
      <c r="L419179" t="s">
        <v>25</v>
      </c>
      <c r="M419179" t="s">
        <v>17</v>
      </c>
    </row>
    <row r="419180" spans="1:13" x14ac:dyDescent="0.25">
      <c r="A419180" s="6">
        <v>46139</v>
      </c>
      <c r="B419180" s="11">
        <f t="shared" si="110"/>
        <v>4</v>
      </c>
      <c r="C419180" s="11">
        <f t="shared" si="111"/>
        <v>18</v>
      </c>
      <c r="D419180" s="5" t="s">
        <v>23</v>
      </c>
      <c r="E419180" s="11" t="s">
        <v>14</v>
      </c>
      <c r="F419180" s="9" t="s">
        <v>22</v>
      </c>
      <c r="G419180">
        <v>1</v>
      </c>
      <c r="J419180" s="7">
        <v>3.456</v>
      </c>
      <c r="K419180" s="11">
        <f t="shared" ref="K419180:K419185" si="112">YEAR(A419180)</f>
        <v>2026</v>
      </c>
      <c r="L419180" t="s">
        <v>25</v>
      </c>
      <c r="M419180" t="s">
        <v>17</v>
      </c>
    </row>
    <row r="419181" spans="1:13" x14ac:dyDescent="0.25">
      <c r="A419181" s="6">
        <v>46143.791666666664</v>
      </c>
      <c r="B419181" s="11">
        <f t="shared" si="110"/>
        <v>5</v>
      </c>
      <c r="C419181" s="11">
        <f t="shared" si="111"/>
        <v>18</v>
      </c>
      <c r="D419181" s="5" t="s">
        <v>18</v>
      </c>
      <c r="E419181" s="11" t="s">
        <v>14</v>
      </c>
      <c r="F419181" s="9" t="s">
        <v>15</v>
      </c>
      <c r="G419181">
        <v>1</v>
      </c>
      <c r="J419181" s="7">
        <v>1.663</v>
      </c>
      <c r="K419181" s="11">
        <f t="shared" si="112"/>
        <v>2026</v>
      </c>
      <c r="L419181" t="s">
        <v>25</v>
      </c>
      <c r="M419181" t="s">
        <v>17</v>
      </c>
    </row>
    <row r="419182" spans="1:13" x14ac:dyDescent="0.25">
      <c r="A419182" s="6">
        <v>46142.291666666664</v>
      </c>
      <c r="B419182" s="11">
        <f t="shared" si="110"/>
        <v>4</v>
      </c>
      <c r="C419182" s="11">
        <f t="shared" si="111"/>
        <v>18</v>
      </c>
      <c r="D419182" s="5" t="s">
        <v>13</v>
      </c>
      <c r="E419182" s="11" t="s">
        <v>14</v>
      </c>
      <c r="F419182" s="9" t="s">
        <v>15</v>
      </c>
      <c r="G419182">
        <v>1</v>
      </c>
      <c r="J419182" s="7">
        <v>1.236</v>
      </c>
      <c r="K419182" s="11">
        <f t="shared" si="112"/>
        <v>2026</v>
      </c>
      <c r="L419182" t="s">
        <v>25</v>
      </c>
      <c r="M419182" t="s">
        <v>17</v>
      </c>
    </row>
    <row r="419183" spans="1:13" x14ac:dyDescent="0.25">
      <c r="A419183" s="6">
        <v>46142.291666666664</v>
      </c>
      <c r="B419183" s="11">
        <f t="shared" si="110"/>
        <v>4</v>
      </c>
      <c r="C419183" s="11">
        <f t="shared" si="111"/>
        <v>18</v>
      </c>
      <c r="D419183" s="5" t="s">
        <v>13</v>
      </c>
      <c r="E419183" s="11" t="s">
        <v>14</v>
      </c>
      <c r="F419183" s="9" t="s">
        <v>15</v>
      </c>
      <c r="G419183">
        <v>1</v>
      </c>
      <c r="J419183" s="7">
        <v>4.8289999999999997</v>
      </c>
      <c r="K419183" s="11">
        <f t="shared" si="112"/>
        <v>2026</v>
      </c>
      <c r="L419183" t="s">
        <v>25</v>
      </c>
      <c r="M419183" t="s">
        <v>17</v>
      </c>
    </row>
    <row r="419184" spans="1:13" x14ac:dyDescent="0.25">
      <c r="A419184" s="6">
        <v>46142.291666666664</v>
      </c>
      <c r="B419184" s="11">
        <f t="shared" si="110"/>
        <v>4</v>
      </c>
      <c r="C419184" s="11">
        <f t="shared" si="111"/>
        <v>18</v>
      </c>
      <c r="D419184" s="5" t="s">
        <v>13</v>
      </c>
      <c r="E419184" s="11" t="s">
        <v>14</v>
      </c>
      <c r="F419184" s="9" t="s">
        <v>15</v>
      </c>
      <c r="G419184">
        <v>1</v>
      </c>
      <c r="J419184" s="7">
        <v>4.08</v>
      </c>
      <c r="K419184" s="11">
        <f t="shared" si="112"/>
        <v>2026</v>
      </c>
      <c r="L419184" t="s">
        <v>25</v>
      </c>
      <c r="M419184" t="s">
        <v>17</v>
      </c>
    </row>
    <row r="419185" spans="1:13" x14ac:dyDescent="0.25">
      <c r="A419185" s="6">
        <v>46140</v>
      </c>
      <c r="B419185" s="11">
        <f t="shared" si="110"/>
        <v>4</v>
      </c>
      <c r="C419185" s="11">
        <f t="shared" si="111"/>
        <v>18</v>
      </c>
      <c r="D419185" s="5" t="s">
        <v>13</v>
      </c>
      <c r="E419185" s="11" t="s">
        <v>14</v>
      </c>
      <c r="F419185" s="9" t="s">
        <v>22</v>
      </c>
      <c r="G419185">
        <v>1</v>
      </c>
      <c r="J419185" s="7">
        <v>3.1880000000000002</v>
      </c>
      <c r="K419185" s="11">
        <f t="shared" si="112"/>
        <v>2026</v>
      </c>
      <c r="L419185" t="s">
        <v>25</v>
      </c>
      <c r="M419185" t="s">
        <v>17</v>
      </c>
    </row>
    <row r="419186" spans="1:13" x14ac:dyDescent="0.25">
      <c r="A419186" s="6">
        <v>46150.25</v>
      </c>
      <c r="B419186" s="11">
        <v>5</v>
      </c>
      <c r="C419186" s="11">
        <v>19</v>
      </c>
      <c r="D419186" s="5" t="s">
        <v>18</v>
      </c>
      <c r="E419186" s="11" t="s">
        <v>14</v>
      </c>
      <c r="F419186" s="9" t="s">
        <v>15</v>
      </c>
      <c r="G419186">
        <v>1</v>
      </c>
      <c r="J419186" s="7">
        <v>6.12</v>
      </c>
      <c r="K419186" s="11">
        <v>2026</v>
      </c>
      <c r="L419186" t="s">
        <v>16</v>
      </c>
      <c r="M419186" t="s">
        <v>17</v>
      </c>
    </row>
    <row r="419187" spans="1:13" x14ac:dyDescent="0.25">
      <c r="A419187" s="6">
        <v>46150.881944444445</v>
      </c>
      <c r="B419187" s="11">
        <v>5</v>
      </c>
      <c r="C419187" s="11">
        <v>19</v>
      </c>
      <c r="D419187" s="5" t="s">
        <v>18</v>
      </c>
      <c r="E419187" s="11" t="s">
        <v>14</v>
      </c>
      <c r="F419187" s="9" t="s">
        <v>22</v>
      </c>
      <c r="G419187">
        <v>1</v>
      </c>
      <c r="J419187" s="7">
        <v>1.05</v>
      </c>
      <c r="K419187" s="11">
        <v>2026</v>
      </c>
      <c r="L419187" t="s">
        <v>16</v>
      </c>
      <c r="M419187" t="s">
        <v>17</v>
      </c>
    </row>
    <row r="419188" spans="1:13" x14ac:dyDescent="0.25">
      <c r="A419188" s="6">
        <v>46150.729166666664</v>
      </c>
      <c r="B419188" s="11">
        <v>5</v>
      </c>
      <c r="C419188" s="11">
        <v>19</v>
      </c>
      <c r="D419188" s="5" t="s">
        <v>18</v>
      </c>
      <c r="E419188" s="11" t="s">
        <v>14</v>
      </c>
      <c r="F419188" s="9" t="s">
        <v>22</v>
      </c>
      <c r="G419188">
        <v>1</v>
      </c>
      <c r="J419188" s="7">
        <v>0.55000000000000004</v>
      </c>
      <c r="K419188" s="11">
        <v>2026</v>
      </c>
      <c r="L419188" t="s">
        <v>16</v>
      </c>
      <c r="M419188" t="s">
        <v>17</v>
      </c>
    </row>
    <row r="419189" spans="1:13" x14ac:dyDescent="0.25">
      <c r="A419189" s="6">
        <v>46146.059027777781</v>
      </c>
      <c r="B419189" s="11">
        <v>5</v>
      </c>
      <c r="C419189" s="11">
        <v>19</v>
      </c>
      <c r="D419189" s="5" t="s">
        <v>18</v>
      </c>
      <c r="E419189" s="11" t="s">
        <v>14</v>
      </c>
      <c r="F419189" s="9" t="s">
        <v>15</v>
      </c>
      <c r="G419189">
        <v>1</v>
      </c>
      <c r="J419189" s="7">
        <v>1.1399999999999999</v>
      </c>
      <c r="K419189" s="11">
        <v>2026</v>
      </c>
      <c r="L419189" t="s">
        <v>16</v>
      </c>
      <c r="M419189" t="s">
        <v>17</v>
      </c>
    </row>
    <row r="419190" spans="1:13" x14ac:dyDescent="0.25">
      <c r="A419190" s="6">
        <v>46149</v>
      </c>
      <c r="B419190" s="11">
        <v>5</v>
      </c>
      <c r="C419190" s="11">
        <v>19</v>
      </c>
      <c r="D419190" s="5" t="s">
        <v>18</v>
      </c>
      <c r="E419190" s="11" t="s">
        <v>14</v>
      </c>
      <c r="F419190" s="9" t="s">
        <v>22</v>
      </c>
      <c r="G419190">
        <v>1</v>
      </c>
      <c r="J419190" s="7">
        <v>1.3440000000000001</v>
      </c>
      <c r="K419190" s="11">
        <v>2026</v>
      </c>
      <c r="L419190" t="s">
        <v>16</v>
      </c>
      <c r="M419190" t="s">
        <v>17</v>
      </c>
    </row>
    <row r="419191" spans="1:13" x14ac:dyDescent="0.25">
      <c r="A419191" s="6">
        <v>46148.024305555555</v>
      </c>
      <c r="B419191" s="11">
        <v>5</v>
      </c>
      <c r="C419191" s="11">
        <v>19</v>
      </c>
      <c r="D419191" s="5" t="s">
        <v>18</v>
      </c>
      <c r="E419191" s="11" t="s">
        <v>14</v>
      </c>
      <c r="F419191" s="9" t="s">
        <v>15</v>
      </c>
      <c r="G419191">
        <v>1</v>
      </c>
      <c r="J419191" s="7">
        <v>0.63800000000000001</v>
      </c>
      <c r="K419191" s="11">
        <v>2026</v>
      </c>
      <c r="L419191" t="s">
        <v>16</v>
      </c>
      <c r="M419191" t="s">
        <v>17</v>
      </c>
    </row>
    <row r="419192" spans="1:13" x14ac:dyDescent="0.25">
      <c r="A419192" s="6">
        <v>46148.024305555555</v>
      </c>
      <c r="B419192" s="11">
        <v>5</v>
      </c>
      <c r="C419192" s="11">
        <v>19</v>
      </c>
      <c r="D419192" s="5" t="s">
        <v>18</v>
      </c>
      <c r="E419192" s="11" t="s">
        <v>14</v>
      </c>
      <c r="F419192" s="9" t="s">
        <v>15</v>
      </c>
      <c r="G419192">
        <v>1</v>
      </c>
      <c r="J419192" s="7">
        <v>0.501</v>
      </c>
      <c r="K419192" s="11">
        <v>2026</v>
      </c>
      <c r="L419192" t="s">
        <v>16</v>
      </c>
      <c r="M419192" t="s">
        <v>17</v>
      </c>
    </row>
    <row r="419193" spans="1:13" x14ac:dyDescent="0.25">
      <c r="A419193" s="6">
        <v>46148.024305555555</v>
      </c>
      <c r="B419193" s="11">
        <v>5</v>
      </c>
      <c r="C419193" s="11">
        <v>19</v>
      </c>
      <c r="D419193" s="5" t="s">
        <v>18</v>
      </c>
      <c r="E419193" s="11" t="s">
        <v>14</v>
      </c>
      <c r="F419193" s="9" t="s">
        <v>15</v>
      </c>
      <c r="G419193">
        <v>1</v>
      </c>
      <c r="J419193" s="7">
        <v>0.24</v>
      </c>
      <c r="K419193" s="11">
        <v>2026</v>
      </c>
      <c r="L419193" t="s">
        <v>16</v>
      </c>
      <c r="M419193" t="s">
        <v>17</v>
      </c>
    </row>
    <row r="419194" spans="1:13" x14ac:dyDescent="0.25">
      <c r="A419194" s="6">
        <v>46148.024305555555</v>
      </c>
      <c r="B419194" s="11">
        <v>5</v>
      </c>
      <c r="C419194" s="11">
        <v>19</v>
      </c>
      <c r="D419194" s="5" t="s">
        <v>18</v>
      </c>
      <c r="E419194" s="11" t="s">
        <v>14</v>
      </c>
      <c r="F419194" s="9" t="s">
        <v>15</v>
      </c>
      <c r="G419194">
        <v>1</v>
      </c>
      <c r="J419194" s="7">
        <v>2.8839999999999999</v>
      </c>
      <c r="K419194" s="11">
        <v>2026</v>
      </c>
      <c r="L419194" t="s">
        <v>16</v>
      </c>
      <c r="M419194" t="s">
        <v>17</v>
      </c>
    </row>
    <row r="419195" spans="1:13" x14ac:dyDescent="0.25">
      <c r="A419195" s="6">
        <v>46148.024305555555</v>
      </c>
      <c r="B419195" s="11">
        <v>5</v>
      </c>
      <c r="C419195" s="11">
        <v>19</v>
      </c>
      <c r="D419195" s="5" t="s">
        <v>18</v>
      </c>
      <c r="E419195" s="11" t="s">
        <v>14</v>
      </c>
      <c r="F419195" s="9" t="s">
        <v>15</v>
      </c>
      <c r="G419195">
        <v>1</v>
      </c>
      <c r="J419195" s="7">
        <v>1.3440000000000001</v>
      </c>
      <c r="K419195" s="11">
        <v>2026</v>
      </c>
      <c r="L419195" t="s">
        <v>16</v>
      </c>
      <c r="M419195" t="s">
        <v>17</v>
      </c>
    </row>
    <row r="419196" spans="1:13" x14ac:dyDescent="0.25">
      <c r="A419196" s="6">
        <v>46148.024305555555</v>
      </c>
      <c r="B419196" s="11">
        <v>5</v>
      </c>
      <c r="C419196" s="11">
        <v>19</v>
      </c>
      <c r="D419196" s="5" t="s">
        <v>18</v>
      </c>
      <c r="E419196" s="11" t="s">
        <v>14</v>
      </c>
      <c r="F419196" s="9" t="s">
        <v>15</v>
      </c>
      <c r="G419196">
        <v>1</v>
      </c>
      <c r="J419196" s="7">
        <v>3.1920000000000002</v>
      </c>
      <c r="K419196" s="11">
        <v>2026</v>
      </c>
      <c r="L419196" t="s">
        <v>16</v>
      </c>
      <c r="M419196" t="s">
        <v>17</v>
      </c>
    </row>
    <row r="419197" spans="1:13" x14ac:dyDescent="0.25">
      <c r="A419197" s="6">
        <v>46149</v>
      </c>
      <c r="B419197" s="11">
        <v>5</v>
      </c>
      <c r="C419197" s="11">
        <v>19</v>
      </c>
      <c r="D419197" s="5" t="s">
        <v>18</v>
      </c>
      <c r="E419197" s="11" t="s">
        <v>14</v>
      </c>
      <c r="F419197" s="9" t="s">
        <v>22</v>
      </c>
      <c r="G419197">
        <v>1</v>
      </c>
      <c r="J419197" s="7">
        <v>4.032</v>
      </c>
      <c r="K419197" s="11">
        <v>2026</v>
      </c>
      <c r="L419197" t="s">
        <v>16</v>
      </c>
      <c r="M419197" t="s">
        <v>17</v>
      </c>
    </row>
    <row r="419198" spans="1:13" x14ac:dyDescent="0.25">
      <c r="A419198" s="6">
        <v>46150</v>
      </c>
      <c r="B419198" s="11">
        <v>5</v>
      </c>
      <c r="C419198" s="11">
        <v>19</v>
      </c>
      <c r="D419198" s="5" t="s">
        <v>18</v>
      </c>
      <c r="E419198" s="11" t="s">
        <v>14</v>
      </c>
      <c r="F419198" s="9" t="s">
        <v>22</v>
      </c>
      <c r="G419198">
        <v>1</v>
      </c>
      <c r="J419198" s="7">
        <v>3.06</v>
      </c>
      <c r="K419198" s="11">
        <v>2026</v>
      </c>
      <c r="L419198" t="s">
        <v>16</v>
      </c>
      <c r="M419198" t="s">
        <v>17</v>
      </c>
    </row>
    <row r="419199" spans="1:13" x14ac:dyDescent="0.25">
      <c r="A419199" s="6">
        <v>46151.25</v>
      </c>
      <c r="B419199" s="11">
        <v>5</v>
      </c>
      <c r="C419199" s="11">
        <v>19</v>
      </c>
      <c r="D419199" s="5" t="s">
        <v>18</v>
      </c>
      <c r="E419199" s="11" t="s">
        <v>14</v>
      </c>
      <c r="F419199" s="9" t="s">
        <v>22</v>
      </c>
      <c r="G419199">
        <v>1</v>
      </c>
      <c r="J419199" s="7">
        <v>4.38</v>
      </c>
      <c r="K419199" s="11">
        <v>2026</v>
      </c>
      <c r="L419199" t="s">
        <v>16</v>
      </c>
      <c r="M419199" t="s">
        <v>17</v>
      </c>
    </row>
    <row r="419200" spans="1:13" x14ac:dyDescent="0.25">
      <c r="A419200" s="6">
        <v>46151.25</v>
      </c>
      <c r="B419200" s="11">
        <v>5</v>
      </c>
      <c r="C419200" s="11">
        <v>19</v>
      </c>
      <c r="D419200" s="5" t="s">
        <v>18</v>
      </c>
      <c r="E419200" s="11" t="s">
        <v>14</v>
      </c>
      <c r="F419200" s="9" t="s">
        <v>22</v>
      </c>
      <c r="G419200">
        <v>1</v>
      </c>
      <c r="J419200" s="7">
        <v>1.0529999999999999</v>
      </c>
      <c r="K419200" s="11">
        <v>2026</v>
      </c>
      <c r="L419200" t="s">
        <v>16</v>
      </c>
      <c r="M419200" t="s">
        <v>17</v>
      </c>
    </row>
    <row r="419201" spans="1:13" x14ac:dyDescent="0.25">
      <c r="A419201" s="6">
        <v>46145.541666666664</v>
      </c>
      <c r="B419201" s="11">
        <v>5</v>
      </c>
      <c r="C419201" s="11">
        <v>19</v>
      </c>
      <c r="D419201" s="5" t="s">
        <v>18</v>
      </c>
      <c r="E419201" s="11" t="s">
        <v>14</v>
      </c>
      <c r="F419201" s="9" t="s">
        <v>22</v>
      </c>
      <c r="G419201">
        <v>1</v>
      </c>
      <c r="J419201" s="7">
        <v>1.68</v>
      </c>
      <c r="K419201" s="11">
        <v>2026</v>
      </c>
      <c r="L419201" t="s">
        <v>16</v>
      </c>
      <c r="M419201" t="s">
        <v>17</v>
      </c>
    </row>
    <row r="419202" spans="1:13" x14ac:dyDescent="0.25">
      <c r="A419202" s="6">
        <v>46146.059027777781</v>
      </c>
      <c r="B419202" s="11">
        <v>5</v>
      </c>
      <c r="C419202" s="11">
        <v>19</v>
      </c>
      <c r="D419202" s="5" t="s">
        <v>18</v>
      </c>
      <c r="E419202" s="11" t="s">
        <v>14</v>
      </c>
      <c r="F419202" s="9" t="s">
        <v>15</v>
      </c>
      <c r="G419202">
        <v>1</v>
      </c>
      <c r="J419202" s="7">
        <v>0.04</v>
      </c>
      <c r="K419202" s="11">
        <v>2026</v>
      </c>
      <c r="L419202" t="s">
        <v>16</v>
      </c>
      <c r="M419202" t="s">
        <v>17</v>
      </c>
    </row>
    <row r="419203" spans="1:13" x14ac:dyDescent="0.25">
      <c r="A419203" s="6">
        <v>46148.024305555555</v>
      </c>
      <c r="B419203" s="11">
        <v>5</v>
      </c>
      <c r="C419203" s="11">
        <v>19</v>
      </c>
      <c r="D419203" s="5" t="s">
        <v>18</v>
      </c>
      <c r="E419203" s="11" t="s">
        <v>14</v>
      </c>
      <c r="F419203" s="9" t="s">
        <v>15</v>
      </c>
      <c r="G419203">
        <v>1</v>
      </c>
      <c r="J419203" s="7">
        <v>1.548</v>
      </c>
      <c r="K419203" s="11">
        <v>2026</v>
      </c>
      <c r="L419203" t="s">
        <v>16</v>
      </c>
      <c r="M419203" t="s">
        <v>17</v>
      </c>
    </row>
    <row r="419204" spans="1:13" x14ac:dyDescent="0.25">
      <c r="A419204" s="6">
        <v>46146.05</v>
      </c>
      <c r="B419204" s="11">
        <v>5</v>
      </c>
      <c r="C419204" s="11">
        <v>19</v>
      </c>
      <c r="D419204" s="5" t="s">
        <v>18</v>
      </c>
      <c r="E419204" s="11" t="s">
        <v>14</v>
      </c>
      <c r="F419204" s="9" t="s">
        <v>15</v>
      </c>
      <c r="G419204">
        <v>1</v>
      </c>
      <c r="J419204" s="7">
        <v>0.25600000000000001</v>
      </c>
      <c r="K419204" s="11">
        <v>2026</v>
      </c>
      <c r="L419204" t="s">
        <v>16</v>
      </c>
      <c r="M419204" t="s">
        <v>17</v>
      </c>
    </row>
    <row r="419205" spans="1:13" x14ac:dyDescent="0.25">
      <c r="A419205" s="6">
        <v>46146.059027777781</v>
      </c>
      <c r="B419205" s="11">
        <v>5</v>
      </c>
      <c r="C419205" s="11">
        <v>19</v>
      </c>
      <c r="D419205" s="5" t="s">
        <v>18</v>
      </c>
      <c r="E419205" s="11" t="s">
        <v>14</v>
      </c>
      <c r="F419205" s="9" t="s">
        <v>15</v>
      </c>
      <c r="G419205">
        <v>1</v>
      </c>
      <c r="J419205" s="7">
        <v>0.45</v>
      </c>
      <c r="K419205" s="11">
        <v>2026</v>
      </c>
      <c r="L419205" t="s">
        <v>16</v>
      </c>
      <c r="M419205" t="s">
        <v>17</v>
      </c>
    </row>
    <row r="419206" spans="1:13" x14ac:dyDescent="0.25">
      <c r="A419206" s="6">
        <v>46148.024305555555</v>
      </c>
      <c r="B419206" s="11">
        <v>5</v>
      </c>
      <c r="C419206" s="11">
        <v>19</v>
      </c>
      <c r="D419206" s="5" t="s">
        <v>18</v>
      </c>
      <c r="E419206" s="11" t="s">
        <v>14</v>
      </c>
      <c r="F419206" s="9" t="s">
        <v>15</v>
      </c>
      <c r="G419206">
        <v>1</v>
      </c>
      <c r="J419206" s="7">
        <v>2.86</v>
      </c>
      <c r="K419206" s="11">
        <v>2026</v>
      </c>
      <c r="L419206" t="s">
        <v>16</v>
      </c>
      <c r="M419206" t="s">
        <v>17</v>
      </c>
    </row>
    <row r="419207" spans="1:13" x14ac:dyDescent="0.25">
      <c r="A419207" s="6">
        <v>46148.024305555555</v>
      </c>
      <c r="B419207" s="11">
        <v>5</v>
      </c>
      <c r="C419207" s="11">
        <v>19</v>
      </c>
      <c r="D419207" s="5" t="s">
        <v>18</v>
      </c>
      <c r="E419207" s="11" t="s">
        <v>14</v>
      </c>
      <c r="F419207" s="9" t="s">
        <v>15</v>
      </c>
      <c r="G419207">
        <v>1</v>
      </c>
      <c r="J419207" s="7">
        <v>7.5359999999999996</v>
      </c>
      <c r="K419207" s="11">
        <v>2026</v>
      </c>
      <c r="L419207" t="s">
        <v>16</v>
      </c>
      <c r="M419207" t="s">
        <v>17</v>
      </c>
    </row>
    <row r="419208" spans="1:13" x14ac:dyDescent="0.25">
      <c r="A419208" s="6">
        <v>46146.059027777781</v>
      </c>
      <c r="B419208" s="11">
        <v>5</v>
      </c>
      <c r="C419208" s="11">
        <v>19</v>
      </c>
      <c r="D419208" s="5" t="s">
        <v>18</v>
      </c>
      <c r="E419208" s="11" t="s">
        <v>14</v>
      </c>
      <c r="F419208" s="9" t="s">
        <v>15</v>
      </c>
      <c r="G419208">
        <v>1</v>
      </c>
      <c r="J419208" s="7">
        <v>1.34</v>
      </c>
      <c r="K419208" s="11">
        <v>2026</v>
      </c>
      <c r="L419208" t="s">
        <v>16</v>
      </c>
      <c r="M419208" t="s">
        <v>17</v>
      </c>
    </row>
    <row r="419209" spans="1:13" x14ac:dyDescent="0.25">
      <c r="A419209" s="6">
        <v>46151.25</v>
      </c>
      <c r="B419209" s="11">
        <v>5</v>
      </c>
      <c r="C419209" s="11">
        <v>19</v>
      </c>
      <c r="D419209" s="5" t="s">
        <v>18</v>
      </c>
      <c r="E419209" s="11" t="s">
        <v>14</v>
      </c>
      <c r="F419209" s="9" t="s">
        <v>22</v>
      </c>
      <c r="G419209">
        <v>1</v>
      </c>
      <c r="J419209" s="7">
        <v>0.38400000000000001</v>
      </c>
      <c r="K419209" s="11">
        <v>2026</v>
      </c>
      <c r="L419209" t="s">
        <v>16</v>
      </c>
      <c r="M419209" t="s">
        <v>17</v>
      </c>
    </row>
    <row r="419210" spans="1:13" x14ac:dyDescent="0.25">
      <c r="A419210" s="6">
        <v>46149.291666666664</v>
      </c>
      <c r="B419210" s="11">
        <v>5</v>
      </c>
      <c r="C419210" s="11">
        <v>19</v>
      </c>
      <c r="D419210" s="5" t="s">
        <v>18</v>
      </c>
      <c r="E419210" s="11" t="s">
        <v>14</v>
      </c>
      <c r="F419210" s="9" t="s">
        <v>22</v>
      </c>
      <c r="G419210">
        <v>1</v>
      </c>
      <c r="J419210" s="7">
        <v>0.215</v>
      </c>
      <c r="K419210" s="11">
        <v>2026</v>
      </c>
      <c r="L419210" t="s">
        <v>16</v>
      </c>
      <c r="M419210" t="s">
        <v>17</v>
      </c>
    </row>
    <row r="419211" spans="1:13" x14ac:dyDescent="0.25">
      <c r="A419211" s="6">
        <v>46145.541666666664</v>
      </c>
      <c r="B419211" s="11">
        <v>5</v>
      </c>
      <c r="C419211" s="11">
        <v>19</v>
      </c>
      <c r="D419211" s="5" t="s">
        <v>18</v>
      </c>
      <c r="E419211" s="11" t="s">
        <v>14</v>
      </c>
      <c r="F419211" s="9" t="s">
        <v>15</v>
      </c>
      <c r="G419211">
        <v>1</v>
      </c>
      <c r="J419211" s="7">
        <v>3.044</v>
      </c>
      <c r="K419211" s="11">
        <v>2026</v>
      </c>
      <c r="L419211" t="s">
        <v>16</v>
      </c>
      <c r="M419211" t="s">
        <v>17</v>
      </c>
    </row>
    <row r="419212" spans="1:13" x14ac:dyDescent="0.25">
      <c r="A419212" s="6">
        <v>46150</v>
      </c>
      <c r="B419212" s="11">
        <v>5</v>
      </c>
      <c r="C419212" s="11">
        <v>19</v>
      </c>
      <c r="D419212" s="5" t="s">
        <v>18</v>
      </c>
      <c r="E419212" s="11" t="s">
        <v>14</v>
      </c>
      <c r="F419212" s="9" t="s">
        <v>22</v>
      </c>
      <c r="G419212">
        <v>1</v>
      </c>
      <c r="J419212" s="7">
        <v>1.105</v>
      </c>
      <c r="K419212" s="11">
        <v>2026</v>
      </c>
      <c r="L419212" t="s">
        <v>16</v>
      </c>
      <c r="M419212" t="s">
        <v>17</v>
      </c>
    </row>
    <row r="419213" spans="1:13" x14ac:dyDescent="0.25">
      <c r="A419213" s="6">
        <v>46146.05</v>
      </c>
      <c r="B419213" s="11">
        <v>5</v>
      </c>
      <c r="C419213" s="11">
        <v>19</v>
      </c>
      <c r="D419213" s="5" t="s">
        <v>18</v>
      </c>
      <c r="E419213" s="11" t="s">
        <v>14</v>
      </c>
      <c r="F419213" s="9" t="s">
        <v>15</v>
      </c>
      <c r="G419213">
        <v>1</v>
      </c>
      <c r="J419213" s="7">
        <v>0.64300000000000002</v>
      </c>
      <c r="K419213" s="11">
        <v>2026</v>
      </c>
      <c r="L419213" t="s">
        <v>16</v>
      </c>
      <c r="M419213" t="s">
        <v>17</v>
      </c>
    </row>
    <row r="419214" spans="1:13" x14ac:dyDescent="0.25">
      <c r="A419214" s="6">
        <v>46146.05</v>
      </c>
      <c r="B419214" s="11">
        <v>5</v>
      </c>
      <c r="C419214" s="11">
        <v>19</v>
      </c>
      <c r="D419214" s="5" t="s">
        <v>18</v>
      </c>
      <c r="E419214" s="11" t="s">
        <v>14</v>
      </c>
      <c r="F419214" s="9" t="s">
        <v>15</v>
      </c>
      <c r="G419214">
        <v>1</v>
      </c>
      <c r="J419214" s="7">
        <v>5.3479999999999999</v>
      </c>
      <c r="K419214" s="11">
        <v>2026</v>
      </c>
      <c r="L419214" t="s">
        <v>16</v>
      </c>
      <c r="M419214" t="s">
        <v>17</v>
      </c>
    </row>
    <row r="419215" spans="1:13" x14ac:dyDescent="0.25">
      <c r="A419215" s="6">
        <v>46146.05</v>
      </c>
      <c r="B419215" s="11">
        <v>5</v>
      </c>
      <c r="C419215" s="11">
        <v>19</v>
      </c>
      <c r="D419215" s="5" t="s">
        <v>18</v>
      </c>
      <c r="E419215" s="11" t="s">
        <v>14</v>
      </c>
      <c r="F419215" s="9" t="s">
        <v>15</v>
      </c>
      <c r="G419215">
        <v>1</v>
      </c>
      <c r="J419215" s="7">
        <v>0.28699999999999998</v>
      </c>
      <c r="K419215" s="11">
        <v>2026</v>
      </c>
      <c r="L419215" t="s">
        <v>16</v>
      </c>
      <c r="M419215" t="s">
        <v>17</v>
      </c>
    </row>
    <row r="419216" spans="1:13" x14ac:dyDescent="0.25">
      <c r="A419216" s="6">
        <v>46146.05</v>
      </c>
      <c r="B419216" s="11">
        <v>5</v>
      </c>
      <c r="C419216" s="11">
        <v>19</v>
      </c>
      <c r="D419216" s="5" t="s">
        <v>18</v>
      </c>
      <c r="E419216" s="11" t="s">
        <v>14</v>
      </c>
      <c r="F419216" s="9" t="s">
        <v>15</v>
      </c>
      <c r="G419216">
        <v>1</v>
      </c>
      <c r="J419216" s="7">
        <v>2.3119999999999998</v>
      </c>
      <c r="K419216" s="11">
        <v>2026</v>
      </c>
      <c r="L419216" t="s">
        <v>16</v>
      </c>
      <c r="M419216" t="s">
        <v>17</v>
      </c>
    </row>
    <row r="419217" spans="1:13" x14ac:dyDescent="0.25">
      <c r="A419217" s="6">
        <v>46146.05</v>
      </c>
      <c r="B419217" s="11">
        <v>5</v>
      </c>
      <c r="C419217" s="11">
        <v>19</v>
      </c>
      <c r="D419217" s="5" t="s">
        <v>18</v>
      </c>
      <c r="E419217" s="11" t="s">
        <v>14</v>
      </c>
      <c r="F419217" s="9" t="s">
        <v>15</v>
      </c>
      <c r="G419217">
        <v>1</v>
      </c>
      <c r="J419217" s="7">
        <v>4.2560000000000002</v>
      </c>
      <c r="K419217" s="11">
        <v>2026</v>
      </c>
      <c r="L419217" t="s">
        <v>16</v>
      </c>
      <c r="M419217" t="s">
        <v>17</v>
      </c>
    </row>
    <row r="419218" spans="1:13" x14ac:dyDescent="0.25">
      <c r="A419218" s="6">
        <v>46146.059027777781</v>
      </c>
      <c r="B419218" s="11">
        <v>5</v>
      </c>
      <c r="C419218" s="11">
        <v>19</v>
      </c>
      <c r="D419218" s="5" t="s">
        <v>18</v>
      </c>
      <c r="E419218" s="11" t="s">
        <v>14</v>
      </c>
      <c r="F419218" s="9" t="s">
        <v>15</v>
      </c>
      <c r="G419218">
        <v>1</v>
      </c>
      <c r="J419218" s="7">
        <v>1.01</v>
      </c>
      <c r="K419218" s="11">
        <v>2026</v>
      </c>
      <c r="L419218" t="s">
        <v>16</v>
      </c>
      <c r="M419218" t="s">
        <v>17</v>
      </c>
    </row>
    <row r="419219" spans="1:13" x14ac:dyDescent="0.25">
      <c r="A419219" s="6">
        <v>46147</v>
      </c>
      <c r="B419219" s="11">
        <v>5</v>
      </c>
      <c r="C419219" s="11">
        <v>19</v>
      </c>
      <c r="D419219" s="5" t="s">
        <v>18</v>
      </c>
      <c r="E419219" s="11" t="s">
        <v>14</v>
      </c>
      <c r="F419219" s="9" t="s">
        <v>22</v>
      </c>
      <c r="G419219">
        <v>1</v>
      </c>
      <c r="J419219" s="7">
        <v>1.915</v>
      </c>
      <c r="K419219" s="11">
        <v>2026</v>
      </c>
      <c r="L419219" t="s">
        <v>16</v>
      </c>
      <c r="M419219" t="s">
        <v>17</v>
      </c>
    </row>
    <row r="419220" spans="1:13" x14ac:dyDescent="0.25">
      <c r="A419220" s="6">
        <v>46150.25</v>
      </c>
      <c r="B419220" s="11">
        <v>5</v>
      </c>
      <c r="C419220" s="11">
        <v>19</v>
      </c>
      <c r="D419220" s="5" t="s">
        <v>18</v>
      </c>
      <c r="E419220" s="11" t="s">
        <v>14</v>
      </c>
      <c r="F419220" s="9" t="s">
        <v>22</v>
      </c>
      <c r="G419220">
        <v>1</v>
      </c>
      <c r="J419220" s="7">
        <v>0.69</v>
      </c>
      <c r="K419220" s="11">
        <v>2026</v>
      </c>
      <c r="L419220" t="s">
        <v>16</v>
      </c>
      <c r="M419220" t="s">
        <v>17</v>
      </c>
    </row>
    <row r="419221" spans="1:13" x14ac:dyDescent="0.25">
      <c r="A419221" s="6">
        <v>46146</v>
      </c>
      <c r="B419221" s="11">
        <v>5</v>
      </c>
      <c r="C419221" s="11">
        <v>19</v>
      </c>
      <c r="D419221" s="5" t="s">
        <v>18</v>
      </c>
      <c r="E419221" s="11" t="s">
        <v>14</v>
      </c>
      <c r="F419221" s="9" t="s">
        <v>22</v>
      </c>
      <c r="G419221">
        <v>1</v>
      </c>
      <c r="J419221" s="7">
        <v>0.24</v>
      </c>
      <c r="K419221" s="11">
        <v>2026</v>
      </c>
      <c r="L419221" t="s">
        <v>16</v>
      </c>
      <c r="M419221" t="s">
        <v>17</v>
      </c>
    </row>
    <row r="419222" spans="1:13" x14ac:dyDescent="0.25">
      <c r="A419222" s="6">
        <v>46147</v>
      </c>
      <c r="B419222" s="11">
        <v>5</v>
      </c>
      <c r="C419222" s="11">
        <v>19</v>
      </c>
      <c r="D419222" s="5" t="s">
        <v>18</v>
      </c>
      <c r="E419222" s="11" t="s">
        <v>14</v>
      </c>
      <c r="F419222" s="9" t="s">
        <v>22</v>
      </c>
      <c r="G419222">
        <v>1</v>
      </c>
      <c r="J419222" s="7">
        <v>4.8000000000000001E-2</v>
      </c>
      <c r="K419222" s="11">
        <v>2026</v>
      </c>
      <c r="L419222" t="s">
        <v>16</v>
      </c>
      <c r="M419222" t="s">
        <v>17</v>
      </c>
    </row>
    <row r="419223" spans="1:13" x14ac:dyDescent="0.25">
      <c r="A419223" s="6">
        <v>46147</v>
      </c>
      <c r="B419223" s="11">
        <v>5</v>
      </c>
      <c r="C419223" s="11">
        <v>19</v>
      </c>
      <c r="D419223" s="5" t="s">
        <v>18</v>
      </c>
      <c r="E419223" s="11" t="s">
        <v>14</v>
      </c>
      <c r="F419223" s="9" t="s">
        <v>22</v>
      </c>
      <c r="G419223">
        <v>1</v>
      </c>
      <c r="J419223" s="7">
        <v>0.46800000000000003</v>
      </c>
      <c r="K419223" s="11">
        <v>2026</v>
      </c>
      <c r="L419223" t="s">
        <v>16</v>
      </c>
      <c r="M419223" t="s">
        <v>17</v>
      </c>
    </row>
    <row r="419224" spans="1:13" x14ac:dyDescent="0.25">
      <c r="A419224" s="6">
        <v>46146.05</v>
      </c>
      <c r="B419224" s="11">
        <v>5</v>
      </c>
      <c r="C419224" s="11">
        <v>19</v>
      </c>
      <c r="D419224" s="5" t="s">
        <v>18</v>
      </c>
      <c r="E419224" s="11" t="s">
        <v>14</v>
      </c>
      <c r="F419224" s="9" t="s">
        <v>15</v>
      </c>
      <c r="G419224">
        <v>1</v>
      </c>
      <c r="J419224" s="7">
        <v>0.76</v>
      </c>
      <c r="K419224" s="11">
        <v>2026</v>
      </c>
      <c r="L419224" t="s">
        <v>16</v>
      </c>
      <c r="M419224" t="s">
        <v>17</v>
      </c>
    </row>
    <row r="419225" spans="1:13" x14ac:dyDescent="0.25">
      <c r="A419225" s="6">
        <v>46146.05</v>
      </c>
      <c r="B419225" s="11">
        <v>5</v>
      </c>
      <c r="C419225" s="11">
        <v>19</v>
      </c>
      <c r="D419225" s="5" t="s">
        <v>18</v>
      </c>
      <c r="E419225" s="11" t="s">
        <v>14</v>
      </c>
      <c r="F419225" s="9" t="s">
        <v>15</v>
      </c>
      <c r="G419225">
        <v>1</v>
      </c>
      <c r="J419225" s="7">
        <v>3.0350000000000001</v>
      </c>
      <c r="K419225" s="11">
        <v>2026</v>
      </c>
      <c r="L419225" t="s">
        <v>16</v>
      </c>
      <c r="M419225" t="s">
        <v>17</v>
      </c>
    </row>
    <row r="419226" spans="1:13" x14ac:dyDescent="0.25">
      <c r="A419226" s="6">
        <v>46150</v>
      </c>
      <c r="B419226" s="11">
        <v>5</v>
      </c>
      <c r="C419226" s="11">
        <v>19</v>
      </c>
      <c r="D419226" s="5" t="s">
        <v>18</v>
      </c>
      <c r="E419226" s="11" t="s">
        <v>14</v>
      </c>
      <c r="F419226" s="9" t="s">
        <v>22</v>
      </c>
      <c r="G419226">
        <v>1</v>
      </c>
      <c r="J419226" s="7">
        <v>0.17</v>
      </c>
      <c r="K419226" s="11">
        <v>2026</v>
      </c>
      <c r="L419226" t="s">
        <v>16</v>
      </c>
      <c r="M419226" t="s">
        <v>17</v>
      </c>
    </row>
    <row r="419227" spans="1:13" x14ac:dyDescent="0.25">
      <c r="A419227" s="6">
        <v>46150</v>
      </c>
      <c r="B419227" s="11">
        <v>5</v>
      </c>
      <c r="C419227" s="11">
        <v>19</v>
      </c>
      <c r="D419227" s="5" t="s">
        <v>18</v>
      </c>
      <c r="E419227" s="11" t="s">
        <v>14</v>
      </c>
      <c r="F419227" s="9" t="s">
        <v>22</v>
      </c>
      <c r="G419227">
        <v>1</v>
      </c>
      <c r="J419227" s="7">
        <v>0.41</v>
      </c>
      <c r="K419227" s="11">
        <v>2026</v>
      </c>
      <c r="L419227" t="s">
        <v>16</v>
      </c>
      <c r="M419227" t="s">
        <v>17</v>
      </c>
    </row>
    <row r="419228" spans="1:13" x14ac:dyDescent="0.25">
      <c r="A419228" s="6">
        <v>46146.05</v>
      </c>
      <c r="B419228" s="11">
        <v>5</v>
      </c>
      <c r="C419228" s="11">
        <v>19</v>
      </c>
      <c r="D419228" s="5" t="s">
        <v>18</v>
      </c>
      <c r="E419228" s="11" t="s">
        <v>14</v>
      </c>
      <c r="F419228" s="9" t="s">
        <v>15</v>
      </c>
      <c r="G419228">
        <v>1</v>
      </c>
      <c r="J419228" s="7">
        <v>0.11799999999999999</v>
      </c>
      <c r="K419228" s="11">
        <v>2026</v>
      </c>
      <c r="L419228" t="s">
        <v>16</v>
      </c>
      <c r="M419228" t="s">
        <v>17</v>
      </c>
    </row>
    <row r="419229" spans="1:13" x14ac:dyDescent="0.25">
      <c r="A419229" s="6">
        <v>46150</v>
      </c>
      <c r="B419229" s="11">
        <v>5</v>
      </c>
      <c r="C419229" s="11">
        <v>19</v>
      </c>
      <c r="D419229" s="5" t="s">
        <v>18</v>
      </c>
      <c r="E419229" s="11" t="s">
        <v>14</v>
      </c>
      <c r="F419229" s="9" t="s">
        <v>22</v>
      </c>
      <c r="G419229">
        <v>1</v>
      </c>
      <c r="J419229" s="7">
        <v>0.745</v>
      </c>
      <c r="K419229" s="11">
        <v>2026</v>
      </c>
      <c r="L419229" t="s">
        <v>16</v>
      </c>
      <c r="M419229" t="s">
        <v>17</v>
      </c>
    </row>
    <row r="419230" spans="1:13" x14ac:dyDescent="0.25">
      <c r="A419230" s="6">
        <v>46145</v>
      </c>
      <c r="B419230" s="11">
        <v>5</v>
      </c>
      <c r="C419230" s="11">
        <v>19</v>
      </c>
      <c r="D419230" s="5" t="s">
        <v>18</v>
      </c>
      <c r="E419230" s="11" t="s">
        <v>14</v>
      </c>
      <c r="F419230" s="9" t="s">
        <v>22</v>
      </c>
      <c r="G419230">
        <v>1</v>
      </c>
      <c r="J419230" s="7">
        <v>1.45</v>
      </c>
      <c r="K419230" s="11">
        <v>2026</v>
      </c>
      <c r="L419230" t="s">
        <v>16</v>
      </c>
      <c r="M419230" t="s">
        <v>17</v>
      </c>
    </row>
    <row r="419231" spans="1:13" x14ac:dyDescent="0.25">
      <c r="A419231" s="6">
        <v>46150</v>
      </c>
      <c r="B419231" s="11">
        <v>5</v>
      </c>
      <c r="C419231" s="11">
        <v>19</v>
      </c>
      <c r="D419231" s="5" t="s">
        <v>18</v>
      </c>
      <c r="E419231" s="11" t="s">
        <v>14</v>
      </c>
      <c r="F419231" s="9" t="s">
        <v>22</v>
      </c>
      <c r="G419231">
        <v>1</v>
      </c>
      <c r="J419231" s="7">
        <v>1.28</v>
      </c>
      <c r="K419231" s="11">
        <v>2026</v>
      </c>
      <c r="L419231" t="s">
        <v>16</v>
      </c>
      <c r="M419231" t="s">
        <v>17</v>
      </c>
    </row>
    <row r="419232" spans="1:13" x14ac:dyDescent="0.25">
      <c r="A419232" s="6">
        <v>46146</v>
      </c>
      <c r="B419232" s="11">
        <v>5</v>
      </c>
      <c r="C419232" s="11">
        <v>19</v>
      </c>
      <c r="D419232" s="5" t="s">
        <v>18</v>
      </c>
      <c r="E419232" s="11" t="s">
        <v>14</v>
      </c>
      <c r="F419232" s="9" t="s">
        <v>22</v>
      </c>
      <c r="G419232">
        <v>1</v>
      </c>
      <c r="J419232" s="7">
        <v>1.44</v>
      </c>
      <c r="K419232" s="11">
        <v>2026</v>
      </c>
      <c r="L419232" t="s">
        <v>16</v>
      </c>
      <c r="M419232" t="s">
        <v>17</v>
      </c>
    </row>
    <row r="419233" spans="1:13" x14ac:dyDescent="0.25">
      <c r="A419233" s="6">
        <v>46151</v>
      </c>
      <c r="B419233" s="11">
        <v>5</v>
      </c>
      <c r="C419233" s="11">
        <v>19</v>
      </c>
      <c r="D419233" s="5" t="s">
        <v>18</v>
      </c>
      <c r="E419233" s="11" t="s">
        <v>14</v>
      </c>
      <c r="F419233" s="9" t="s">
        <v>22</v>
      </c>
      <c r="G419233">
        <v>1</v>
      </c>
      <c r="J419233" s="7">
        <v>1.4219999999999999</v>
      </c>
      <c r="K419233" s="11">
        <v>2026</v>
      </c>
      <c r="L419233" t="s">
        <v>16</v>
      </c>
      <c r="M419233" t="s">
        <v>17</v>
      </c>
    </row>
    <row r="419234" spans="1:13" x14ac:dyDescent="0.25">
      <c r="A419234" s="6">
        <v>46150.291666666664</v>
      </c>
      <c r="B419234" s="11">
        <v>5</v>
      </c>
      <c r="C419234" s="11">
        <v>19</v>
      </c>
      <c r="D419234" s="5" t="s">
        <v>18</v>
      </c>
      <c r="E419234" s="11" t="s">
        <v>14</v>
      </c>
      <c r="F419234" s="9" t="s">
        <v>22</v>
      </c>
      <c r="G419234">
        <v>1</v>
      </c>
      <c r="J419234" s="7">
        <v>12.252000000000001</v>
      </c>
      <c r="K419234" s="11">
        <v>2026</v>
      </c>
      <c r="L419234" t="s">
        <v>16</v>
      </c>
      <c r="M419234" t="s">
        <v>17</v>
      </c>
    </row>
    <row r="419235" spans="1:13" x14ac:dyDescent="0.25">
      <c r="A419235" s="6">
        <v>46146.059027777781</v>
      </c>
      <c r="B419235" s="11">
        <v>5</v>
      </c>
      <c r="C419235" s="11">
        <v>19</v>
      </c>
      <c r="D419235" s="5" t="s">
        <v>19</v>
      </c>
      <c r="E419235" s="11" t="s">
        <v>14</v>
      </c>
      <c r="F419235" s="9" t="s">
        <v>15</v>
      </c>
      <c r="G419235">
        <v>1</v>
      </c>
      <c r="J419235" s="7">
        <v>1.22</v>
      </c>
      <c r="K419235" s="11">
        <v>2026</v>
      </c>
      <c r="L419235" t="s">
        <v>16</v>
      </c>
      <c r="M419235" t="s">
        <v>17</v>
      </c>
    </row>
    <row r="419236" spans="1:13" x14ac:dyDescent="0.25">
      <c r="A419236" s="6">
        <v>46150.25</v>
      </c>
      <c r="B419236" s="11">
        <v>5</v>
      </c>
      <c r="C419236" s="11">
        <v>19</v>
      </c>
      <c r="D419236" s="5" t="s">
        <v>18</v>
      </c>
      <c r="E419236" s="11" t="s">
        <v>14</v>
      </c>
      <c r="F419236" s="9" t="s">
        <v>15</v>
      </c>
      <c r="G419236">
        <v>1</v>
      </c>
      <c r="J419236" s="7">
        <v>0.64100000000000001</v>
      </c>
      <c r="K419236" s="11">
        <v>2026</v>
      </c>
      <c r="L419236" t="s">
        <v>16</v>
      </c>
      <c r="M419236" t="s">
        <v>17</v>
      </c>
    </row>
    <row r="419237" spans="1:13" x14ac:dyDescent="0.25">
      <c r="A419237" s="6">
        <v>46145</v>
      </c>
      <c r="B419237" s="11">
        <v>5</v>
      </c>
      <c r="C419237" s="11">
        <v>19</v>
      </c>
      <c r="D419237" s="5" t="s">
        <v>20</v>
      </c>
      <c r="E419237" s="11" t="s">
        <v>14</v>
      </c>
      <c r="F419237" s="9" t="s">
        <v>22</v>
      </c>
      <c r="G419237">
        <v>1</v>
      </c>
      <c r="J419237" s="7">
        <v>2.0099999999999998</v>
      </c>
      <c r="K419237" s="11">
        <v>2026</v>
      </c>
      <c r="L419237" t="s">
        <v>16</v>
      </c>
      <c r="M419237" t="s">
        <v>17</v>
      </c>
    </row>
    <row r="419238" spans="1:13" x14ac:dyDescent="0.25">
      <c r="A419238" s="6">
        <v>46145.541666666664</v>
      </c>
      <c r="B419238" s="11">
        <v>5</v>
      </c>
      <c r="C419238" s="11">
        <v>19</v>
      </c>
      <c r="D419238" s="5" t="s">
        <v>13</v>
      </c>
      <c r="E419238" s="11" t="s">
        <v>14</v>
      </c>
      <c r="F419238" s="9" t="s">
        <v>15</v>
      </c>
      <c r="G419238">
        <v>1</v>
      </c>
      <c r="J419238" s="7">
        <v>4.8000000000000001E-2</v>
      </c>
      <c r="K419238" s="11">
        <v>2026</v>
      </c>
      <c r="L419238" t="s">
        <v>16</v>
      </c>
      <c r="M419238" t="s">
        <v>17</v>
      </c>
    </row>
    <row r="419239" spans="1:13" x14ac:dyDescent="0.25">
      <c r="A419239" s="6">
        <v>46145.541666666664</v>
      </c>
      <c r="B419239" s="11">
        <v>5</v>
      </c>
      <c r="C419239" s="11">
        <v>19</v>
      </c>
      <c r="D419239" s="5" t="s">
        <v>13</v>
      </c>
      <c r="E419239" s="11" t="s">
        <v>14</v>
      </c>
      <c r="F419239" s="9" t="s">
        <v>15</v>
      </c>
      <c r="G419239">
        <v>1</v>
      </c>
      <c r="J419239" s="7">
        <v>0.01</v>
      </c>
      <c r="K419239" s="11">
        <v>2026</v>
      </c>
      <c r="L419239" t="s">
        <v>16</v>
      </c>
      <c r="M419239" t="s">
        <v>17</v>
      </c>
    </row>
    <row r="419240" spans="1:13" x14ac:dyDescent="0.25">
      <c r="A419240" s="6">
        <v>46145.541666666664</v>
      </c>
      <c r="B419240" s="11">
        <v>5</v>
      </c>
      <c r="C419240" s="11">
        <v>19</v>
      </c>
      <c r="D419240" s="5" t="s">
        <v>13</v>
      </c>
      <c r="E419240" s="11" t="s">
        <v>14</v>
      </c>
      <c r="F419240" s="9" t="s">
        <v>15</v>
      </c>
      <c r="G419240">
        <v>1</v>
      </c>
      <c r="J419240" s="7">
        <v>2.7E-2</v>
      </c>
      <c r="K419240" s="11">
        <v>2026</v>
      </c>
      <c r="L419240" t="s">
        <v>16</v>
      </c>
      <c r="M419240" t="s">
        <v>17</v>
      </c>
    </row>
    <row r="419241" spans="1:13" x14ac:dyDescent="0.25">
      <c r="A419241" s="6">
        <v>46145.541666666664</v>
      </c>
      <c r="B419241" s="11">
        <v>5</v>
      </c>
      <c r="C419241" s="11">
        <v>19</v>
      </c>
      <c r="D419241" s="5" t="s">
        <v>13</v>
      </c>
      <c r="E419241" s="11" t="s">
        <v>14</v>
      </c>
      <c r="F419241" s="9" t="s">
        <v>15</v>
      </c>
      <c r="G419241">
        <v>1</v>
      </c>
      <c r="J419241" s="7">
        <v>0.28999999999999998</v>
      </c>
      <c r="K419241" s="11">
        <v>2026</v>
      </c>
      <c r="L419241" t="s">
        <v>16</v>
      </c>
      <c r="M419241" t="s">
        <v>17</v>
      </c>
    </row>
    <row r="419242" spans="1:13" x14ac:dyDescent="0.25">
      <c r="A419242" s="6">
        <v>46145.541666666664</v>
      </c>
      <c r="B419242" s="11">
        <v>5</v>
      </c>
      <c r="C419242" s="11">
        <v>19</v>
      </c>
      <c r="D419242" s="5" t="s">
        <v>13</v>
      </c>
      <c r="E419242" s="11" t="s">
        <v>14</v>
      </c>
      <c r="F419242" s="9" t="s">
        <v>15</v>
      </c>
      <c r="G419242">
        <v>1</v>
      </c>
      <c r="J419242" s="7">
        <v>2.7E-2</v>
      </c>
      <c r="K419242" s="11">
        <v>2026</v>
      </c>
      <c r="L419242" t="s">
        <v>16</v>
      </c>
      <c r="M419242" t="s">
        <v>17</v>
      </c>
    </row>
    <row r="419243" spans="1:13" x14ac:dyDescent="0.25">
      <c r="A419243" s="6">
        <v>46145.541666666664</v>
      </c>
      <c r="B419243" s="11">
        <v>5</v>
      </c>
      <c r="C419243" s="11">
        <v>19</v>
      </c>
      <c r="D419243" s="5" t="s">
        <v>13</v>
      </c>
      <c r="E419243" s="11" t="s">
        <v>14</v>
      </c>
      <c r="F419243" s="9" t="s">
        <v>15</v>
      </c>
      <c r="G419243">
        <v>1</v>
      </c>
      <c r="J419243" s="7">
        <v>1.5820000000000001</v>
      </c>
      <c r="K419243" s="11">
        <v>2026</v>
      </c>
      <c r="L419243" t="s">
        <v>16</v>
      </c>
      <c r="M419243" t="s">
        <v>17</v>
      </c>
    </row>
    <row r="419244" spans="1:13" x14ac:dyDescent="0.25">
      <c r="A419244" s="6">
        <v>46145.541666666664</v>
      </c>
      <c r="B419244" s="11">
        <v>5</v>
      </c>
      <c r="C419244" s="11">
        <v>19</v>
      </c>
      <c r="D419244" s="5" t="s">
        <v>13</v>
      </c>
      <c r="E419244" s="11" t="s">
        <v>14</v>
      </c>
      <c r="F419244" s="9" t="s">
        <v>15</v>
      </c>
      <c r="G419244">
        <v>1</v>
      </c>
      <c r="J419244" s="7">
        <v>3.36</v>
      </c>
      <c r="K419244" s="11">
        <v>2026</v>
      </c>
      <c r="L419244" t="s">
        <v>16</v>
      </c>
      <c r="M419244" t="s">
        <v>17</v>
      </c>
    </row>
    <row r="419245" spans="1:13" x14ac:dyDescent="0.25">
      <c r="A419245" s="6">
        <v>46150.25</v>
      </c>
      <c r="B419245" s="11">
        <v>5</v>
      </c>
      <c r="C419245" s="11">
        <v>19</v>
      </c>
      <c r="D419245" s="5" t="s">
        <v>13</v>
      </c>
      <c r="E419245" s="11" t="s">
        <v>14</v>
      </c>
      <c r="F419245" s="9" t="s">
        <v>22</v>
      </c>
      <c r="G419245">
        <v>1</v>
      </c>
      <c r="J419245" s="7">
        <v>2.3340000000000001</v>
      </c>
      <c r="K419245" s="11">
        <v>2026</v>
      </c>
      <c r="L419245" t="s">
        <v>16</v>
      </c>
      <c r="M419245" t="s">
        <v>17</v>
      </c>
    </row>
    <row r="419246" spans="1:13" x14ac:dyDescent="0.25">
      <c r="A419246" s="6">
        <v>46146.059027777781</v>
      </c>
      <c r="B419246" s="11">
        <v>5</v>
      </c>
      <c r="C419246" s="11">
        <v>19</v>
      </c>
      <c r="D419246" s="5" t="s">
        <v>23</v>
      </c>
      <c r="E419246" s="11" t="s">
        <v>14</v>
      </c>
      <c r="F419246" s="9" t="s">
        <v>15</v>
      </c>
      <c r="G419246">
        <v>1</v>
      </c>
      <c r="J419246" s="7">
        <v>3.75</v>
      </c>
      <c r="K419246" s="11">
        <v>2026</v>
      </c>
      <c r="L419246" t="s">
        <v>16</v>
      </c>
      <c r="M419246" t="s">
        <v>17</v>
      </c>
    </row>
    <row r="419247" spans="1:13" x14ac:dyDescent="0.25">
      <c r="A419247" s="6">
        <v>46146.059027777781</v>
      </c>
      <c r="B419247" s="11">
        <v>5</v>
      </c>
      <c r="C419247" s="11">
        <v>19</v>
      </c>
      <c r="D419247" s="5" t="s">
        <v>23</v>
      </c>
      <c r="E419247" s="11" t="s">
        <v>14</v>
      </c>
      <c r="F419247" s="9" t="s">
        <v>15</v>
      </c>
      <c r="G419247">
        <v>1</v>
      </c>
      <c r="J419247" s="7">
        <v>0.54500000000000004</v>
      </c>
      <c r="K419247" s="11">
        <v>2026</v>
      </c>
      <c r="L419247" t="s">
        <v>16</v>
      </c>
      <c r="M419247" t="s">
        <v>17</v>
      </c>
    </row>
    <row r="419248" spans="1:13" x14ac:dyDescent="0.25">
      <c r="A419248" s="6">
        <v>46147</v>
      </c>
      <c r="B419248" s="11">
        <v>5</v>
      </c>
      <c r="C419248" s="11">
        <v>19</v>
      </c>
      <c r="D419248" s="5" t="s">
        <v>21</v>
      </c>
      <c r="E419248" s="11" t="s">
        <v>14</v>
      </c>
      <c r="F419248" s="9" t="s">
        <v>22</v>
      </c>
      <c r="G419248">
        <v>1</v>
      </c>
      <c r="J419248" s="7">
        <v>14.802</v>
      </c>
      <c r="K419248" s="11">
        <v>2026</v>
      </c>
      <c r="L419248" t="s">
        <v>16</v>
      </c>
      <c r="M419248" t="s">
        <v>17</v>
      </c>
    </row>
    <row r="419249" spans="1:13" x14ac:dyDescent="0.25">
      <c r="A419249" s="6">
        <v>46146.059027777781</v>
      </c>
      <c r="B419249" s="11">
        <v>5</v>
      </c>
      <c r="C419249" s="11">
        <v>19</v>
      </c>
      <c r="D419249" s="5" t="s">
        <v>21</v>
      </c>
      <c r="E419249" s="11" t="s">
        <v>14</v>
      </c>
      <c r="F419249" s="9" t="s">
        <v>15</v>
      </c>
      <c r="G419249">
        <v>1</v>
      </c>
      <c r="J419249" s="7">
        <v>0.98899999999999999</v>
      </c>
      <c r="K419249" s="11">
        <v>2026</v>
      </c>
      <c r="L419249" t="s">
        <v>16</v>
      </c>
      <c r="M419249" t="s">
        <v>17</v>
      </c>
    </row>
    <row r="419250" spans="1:13" x14ac:dyDescent="0.25">
      <c r="A419250" s="6">
        <v>46146.059027777781</v>
      </c>
      <c r="B419250" s="11">
        <v>5</v>
      </c>
      <c r="C419250" s="11">
        <v>19</v>
      </c>
      <c r="D419250" s="5" t="s">
        <v>21</v>
      </c>
      <c r="E419250" s="11" t="s">
        <v>14</v>
      </c>
      <c r="F419250" s="9" t="s">
        <v>15</v>
      </c>
      <c r="G419250">
        <v>1</v>
      </c>
      <c r="J419250" s="7">
        <v>4.7869999999999999</v>
      </c>
      <c r="K419250" s="11">
        <v>2026</v>
      </c>
      <c r="L419250" t="s">
        <v>16</v>
      </c>
      <c r="M419250" t="s">
        <v>17</v>
      </c>
    </row>
    <row r="419251" spans="1:13" x14ac:dyDescent="0.25">
      <c r="A419251" s="6">
        <v>46146.059027777781</v>
      </c>
      <c r="B419251" s="11">
        <v>5</v>
      </c>
      <c r="C419251" s="11">
        <v>19</v>
      </c>
      <c r="D419251" s="5" t="s">
        <v>21</v>
      </c>
      <c r="E419251" s="11" t="s">
        <v>14</v>
      </c>
      <c r="F419251" s="9" t="s">
        <v>15</v>
      </c>
      <c r="G419251">
        <v>1</v>
      </c>
      <c r="J419251" s="7">
        <v>4.7169999999999996</v>
      </c>
      <c r="K419251" s="11">
        <v>2026</v>
      </c>
      <c r="L419251" t="s">
        <v>16</v>
      </c>
      <c r="M419251" t="s">
        <v>17</v>
      </c>
    </row>
    <row r="419252" spans="1:13" x14ac:dyDescent="0.25">
      <c r="A419252" s="6">
        <v>46145.8</v>
      </c>
      <c r="B419252" s="11">
        <v>5</v>
      </c>
      <c r="C419252" s="11">
        <v>19</v>
      </c>
      <c r="D419252" s="5" t="s">
        <v>21</v>
      </c>
      <c r="E419252" s="11" t="s">
        <v>14</v>
      </c>
      <c r="F419252" s="9" t="s">
        <v>22</v>
      </c>
      <c r="G419252">
        <v>1</v>
      </c>
      <c r="J419252" s="7">
        <v>4.0039999999999996</v>
      </c>
      <c r="K419252" s="11">
        <v>2026</v>
      </c>
      <c r="L419252" t="s">
        <v>16</v>
      </c>
      <c r="M419252" t="s">
        <v>17</v>
      </c>
    </row>
    <row r="419253" spans="1:13" x14ac:dyDescent="0.25">
      <c r="A419253" s="6">
        <v>46150.25</v>
      </c>
      <c r="B419253" s="11">
        <v>5</v>
      </c>
      <c r="C419253" s="11">
        <v>19</v>
      </c>
      <c r="D419253" s="5" t="s">
        <v>21</v>
      </c>
      <c r="E419253" s="11" t="s">
        <v>14</v>
      </c>
      <c r="F419253" s="9" t="s">
        <v>22</v>
      </c>
      <c r="G419253">
        <v>1</v>
      </c>
      <c r="J419253" s="7">
        <v>1.3120000000000001</v>
      </c>
      <c r="K419253" s="11">
        <v>2026</v>
      </c>
      <c r="L419253" t="s">
        <v>16</v>
      </c>
      <c r="M419253" t="s">
        <v>17</v>
      </c>
    </row>
    <row r="419254" spans="1:13" x14ac:dyDescent="0.25">
      <c r="A419254" s="6">
        <v>46146.059027777781</v>
      </c>
      <c r="B419254" s="11">
        <v>5</v>
      </c>
      <c r="C419254" s="11">
        <v>19</v>
      </c>
      <c r="D419254" s="5" t="s">
        <v>21</v>
      </c>
      <c r="E419254" s="11" t="s">
        <v>14</v>
      </c>
      <c r="F419254" s="9" t="s">
        <v>15</v>
      </c>
      <c r="G419254">
        <v>1</v>
      </c>
      <c r="J419254" s="7">
        <v>4.24</v>
      </c>
      <c r="K419254" s="11">
        <v>2026</v>
      </c>
      <c r="L419254" t="s">
        <v>16</v>
      </c>
      <c r="M419254" t="s">
        <v>17</v>
      </c>
    </row>
    <row r="419255" spans="1:13" x14ac:dyDescent="0.25">
      <c r="A419255" s="6">
        <v>46150.25</v>
      </c>
      <c r="B419255" s="11">
        <v>5</v>
      </c>
      <c r="C419255" s="11">
        <v>19</v>
      </c>
      <c r="D419255" s="5" t="s">
        <v>21</v>
      </c>
      <c r="E419255" s="11" t="s">
        <v>14</v>
      </c>
      <c r="F419255" s="9" t="s">
        <v>22</v>
      </c>
      <c r="G419255">
        <v>1</v>
      </c>
      <c r="J419255" s="7">
        <v>1.27</v>
      </c>
      <c r="K419255" s="11">
        <v>2026</v>
      </c>
      <c r="L419255" t="s">
        <v>16</v>
      </c>
      <c r="M419255" t="s">
        <v>17</v>
      </c>
    </row>
    <row r="419256" spans="1:13" x14ac:dyDescent="0.25">
      <c r="A419256" s="6">
        <v>46150.25</v>
      </c>
      <c r="B419256" s="11">
        <v>5</v>
      </c>
      <c r="C419256" s="11">
        <v>19</v>
      </c>
      <c r="D419256" s="5" t="s">
        <v>21</v>
      </c>
      <c r="E419256" s="11" t="s">
        <v>14</v>
      </c>
      <c r="F419256" s="9" t="s">
        <v>22</v>
      </c>
      <c r="G419256">
        <v>1</v>
      </c>
      <c r="J419256" s="7">
        <v>0.59599999999999997</v>
      </c>
      <c r="K419256" s="11">
        <v>2026</v>
      </c>
      <c r="L419256" t="s">
        <v>16</v>
      </c>
      <c r="M419256" t="s">
        <v>17</v>
      </c>
    </row>
    <row r="419257" spans="1:13" x14ac:dyDescent="0.25">
      <c r="A419257" s="6">
        <v>46145.541666666664</v>
      </c>
      <c r="B419257" s="11">
        <v>5</v>
      </c>
      <c r="C419257" s="11">
        <v>19</v>
      </c>
      <c r="D419257" s="5" t="s">
        <v>21</v>
      </c>
      <c r="E419257" s="11" t="s">
        <v>14</v>
      </c>
      <c r="F419257" s="9" t="s">
        <v>15</v>
      </c>
      <c r="G419257">
        <v>1</v>
      </c>
      <c r="J419257" s="7">
        <v>4.24</v>
      </c>
      <c r="K419257" s="11">
        <v>2026</v>
      </c>
      <c r="L419257" t="s">
        <v>16</v>
      </c>
      <c r="M419257" t="s">
        <v>17</v>
      </c>
    </row>
    <row r="419258" spans="1:13" x14ac:dyDescent="0.25">
      <c r="A419258" s="6">
        <v>46146.05</v>
      </c>
      <c r="B419258" s="11">
        <v>5</v>
      </c>
      <c r="C419258" s="11">
        <v>19</v>
      </c>
      <c r="D419258" s="5" t="s">
        <v>21</v>
      </c>
      <c r="E419258" s="11" t="s">
        <v>14</v>
      </c>
      <c r="F419258" s="9" t="s">
        <v>15</v>
      </c>
      <c r="G419258">
        <v>1</v>
      </c>
      <c r="J419258" s="7">
        <v>4.1929999999999996</v>
      </c>
      <c r="K419258" s="11">
        <v>2026</v>
      </c>
      <c r="L419258" t="s">
        <v>16</v>
      </c>
      <c r="M419258" t="s">
        <v>17</v>
      </c>
    </row>
    <row r="419259" spans="1:13" x14ac:dyDescent="0.25">
      <c r="A419259" s="6">
        <v>46150.25</v>
      </c>
      <c r="B419259" s="11">
        <v>5</v>
      </c>
      <c r="C419259" s="11">
        <v>19</v>
      </c>
      <c r="D419259" s="5" t="s">
        <v>21</v>
      </c>
      <c r="E419259" s="11" t="s">
        <v>14</v>
      </c>
      <c r="F419259" s="9" t="s">
        <v>22</v>
      </c>
      <c r="G419259">
        <v>1</v>
      </c>
      <c r="J419259" s="7">
        <v>0.65600000000000003</v>
      </c>
      <c r="K419259" s="11">
        <v>2026</v>
      </c>
      <c r="L419259" t="s">
        <v>16</v>
      </c>
      <c r="M419259" t="s">
        <v>17</v>
      </c>
    </row>
    <row r="419260" spans="1:13" x14ac:dyDescent="0.25">
      <c r="A419260" s="6">
        <v>46150</v>
      </c>
      <c r="B419260" s="11">
        <v>5</v>
      </c>
      <c r="C419260" s="11">
        <v>19</v>
      </c>
      <c r="D419260" s="5" t="s">
        <v>21</v>
      </c>
      <c r="E419260" s="11" t="s">
        <v>14</v>
      </c>
      <c r="F419260" s="9" t="s">
        <v>22</v>
      </c>
      <c r="G419260">
        <v>1</v>
      </c>
      <c r="J419260" s="7">
        <v>6.51</v>
      </c>
      <c r="K419260" s="11">
        <v>2026</v>
      </c>
      <c r="L419260" t="s">
        <v>16</v>
      </c>
      <c r="M419260" t="s">
        <v>17</v>
      </c>
    </row>
    <row r="419261" spans="1:13" x14ac:dyDescent="0.25">
      <c r="A419261" s="6">
        <v>46150.291666666664</v>
      </c>
      <c r="B419261" s="11">
        <v>5</v>
      </c>
      <c r="C419261" s="11">
        <v>19</v>
      </c>
      <c r="D419261" s="5" t="s">
        <v>21</v>
      </c>
      <c r="E419261" s="11" t="s">
        <v>14</v>
      </c>
      <c r="F419261" s="9" t="s">
        <v>22</v>
      </c>
      <c r="G419261">
        <v>1</v>
      </c>
      <c r="J419261" s="7">
        <v>6.51</v>
      </c>
      <c r="K419261" s="11">
        <v>2026</v>
      </c>
      <c r="L419261" t="s">
        <v>16</v>
      </c>
      <c r="M419261" t="s">
        <v>17</v>
      </c>
    </row>
    <row r="419262" spans="1:13" x14ac:dyDescent="0.25">
      <c r="A419262" s="6">
        <v>46148.024305555555</v>
      </c>
      <c r="B419262" s="11">
        <v>5</v>
      </c>
      <c r="C419262" s="11">
        <v>19</v>
      </c>
      <c r="D419262" s="5" t="s">
        <v>20</v>
      </c>
      <c r="E419262" s="11" t="s">
        <v>14</v>
      </c>
      <c r="F419262" s="9" t="s">
        <v>15</v>
      </c>
      <c r="G419262">
        <v>1</v>
      </c>
      <c r="J419262" s="7">
        <v>7.1550000000000002</v>
      </c>
      <c r="K419262" s="11">
        <v>2026</v>
      </c>
      <c r="L419262" t="s">
        <v>16</v>
      </c>
      <c r="M419262" t="s">
        <v>17</v>
      </c>
    </row>
    <row r="419263" spans="1:13" x14ac:dyDescent="0.25">
      <c r="A419263" s="6">
        <v>46146.059027777781</v>
      </c>
      <c r="B419263" s="11">
        <v>5</v>
      </c>
      <c r="C419263" s="11">
        <v>19</v>
      </c>
      <c r="D419263" s="5" t="s">
        <v>20</v>
      </c>
      <c r="E419263" s="11" t="s">
        <v>14</v>
      </c>
      <c r="F419263" s="9" t="s">
        <v>15</v>
      </c>
      <c r="G419263">
        <v>1</v>
      </c>
      <c r="J419263" s="7">
        <v>0.09</v>
      </c>
      <c r="K419263" s="11">
        <v>2026</v>
      </c>
      <c r="L419263" t="s">
        <v>16</v>
      </c>
      <c r="M419263" t="s">
        <v>17</v>
      </c>
    </row>
    <row r="419264" spans="1:13" x14ac:dyDescent="0.25">
      <c r="A419264" s="6">
        <v>46146.059027777781</v>
      </c>
      <c r="B419264" s="11">
        <v>5</v>
      </c>
      <c r="C419264" s="11">
        <v>19</v>
      </c>
      <c r="D419264" s="5" t="s">
        <v>13</v>
      </c>
      <c r="E419264" s="11" t="s">
        <v>14</v>
      </c>
      <c r="F419264" s="9" t="s">
        <v>15</v>
      </c>
      <c r="G419264">
        <v>1</v>
      </c>
      <c r="J419264" s="7">
        <v>14.808999999999999</v>
      </c>
      <c r="K419264" s="11">
        <v>2026</v>
      </c>
      <c r="L419264" t="s">
        <v>16</v>
      </c>
      <c r="M419264" t="s">
        <v>17</v>
      </c>
    </row>
    <row r="419265" spans="1:13" x14ac:dyDescent="0.25">
      <c r="A419265" s="6">
        <v>46147.791666666664</v>
      </c>
      <c r="B419265" s="11">
        <v>5</v>
      </c>
      <c r="C419265" s="11">
        <v>19</v>
      </c>
      <c r="D419265" s="5" t="s">
        <v>13</v>
      </c>
      <c r="E419265" s="11" t="s">
        <v>14</v>
      </c>
      <c r="F419265" s="9" t="s">
        <v>22</v>
      </c>
      <c r="G419265">
        <v>1</v>
      </c>
      <c r="J419265" s="7">
        <v>3.2320000000000002</v>
      </c>
      <c r="K419265" s="11">
        <v>2026</v>
      </c>
      <c r="L419265" t="s">
        <v>16</v>
      </c>
      <c r="M419265" t="s">
        <v>17</v>
      </c>
    </row>
    <row r="419266" spans="1:13" x14ac:dyDescent="0.25">
      <c r="A419266" s="6">
        <v>46145.8</v>
      </c>
      <c r="B419266" s="11">
        <v>5</v>
      </c>
      <c r="C419266" s="11">
        <v>19</v>
      </c>
      <c r="D419266" s="5" t="s">
        <v>13</v>
      </c>
      <c r="E419266" s="11" t="s">
        <v>14</v>
      </c>
      <c r="F419266" s="9" t="s">
        <v>22</v>
      </c>
      <c r="G419266">
        <v>1</v>
      </c>
      <c r="J419266" s="7">
        <v>8.6379999999999999</v>
      </c>
      <c r="K419266" s="11">
        <v>2026</v>
      </c>
      <c r="L419266" t="s">
        <v>16</v>
      </c>
      <c r="M419266" t="s">
        <v>17</v>
      </c>
    </row>
    <row r="419267" spans="1:13" x14ac:dyDescent="0.25">
      <c r="A419267" s="6">
        <v>46146.05</v>
      </c>
      <c r="B419267" s="11">
        <v>5</v>
      </c>
      <c r="C419267" s="11">
        <v>19</v>
      </c>
      <c r="D419267" s="5" t="s">
        <v>13</v>
      </c>
      <c r="E419267" s="11" t="s">
        <v>14</v>
      </c>
      <c r="F419267" s="9" t="s">
        <v>15</v>
      </c>
      <c r="G419267">
        <v>1</v>
      </c>
      <c r="J419267" s="7">
        <v>2.1</v>
      </c>
      <c r="K419267" s="11">
        <v>2026</v>
      </c>
      <c r="L419267" t="s">
        <v>16</v>
      </c>
      <c r="M419267" t="s">
        <v>17</v>
      </c>
    </row>
    <row r="419268" spans="1:13" x14ac:dyDescent="0.25">
      <c r="A419268" s="6">
        <v>46146.05</v>
      </c>
      <c r="B419268" s="11">
        <v>5</v>
      </c>
      <c r="C419268" s="11">
        <v>19</v>
      </c>
      <c r="D419268" s="5" t="s">
        <v>13</v>
      </c>
      <c r="E419268" s="11" t="s">
        <v>14</v>
      </c>
      <c r="F419268" s="9" t="s">
        <v>15</v>
      </c>
      <c r="G419268">
        <v>1</v>
      </c>
      <c r="J419268" s="7">
        <v>1.8</v>
      </c>
      <c r="K419268" s="11">
        <v>2026</v>
      </c>
      <c r="L419268" t="s">
        <v>16</v>
      </c>
      <c r="M419268" t="s">
        <v>17</v>
      </c>
    </row>
    <row r="419269" spans="1:13" x14ac:dyDescent="0.25">
      <c r="A419269" s="6">
        <v>46146.05</v>
      </c>
      <c r="B419269" s="11">
        <v>5</v>
      </c>
      <c r="C419269" s="11">
        <v>19</v>
      </c>
      <c r="D419269" s="5" t="s">
        <v>13</v>
      </c>
      <c r="E419269" s="11" t="s">
        <v>14</v>
      </c>
      <c r="F419269" s="9" t="s">
        <v>15</v>
      </c>
      <c r="G419269">
        <v>1</v>
      </c>
      <c r="J419269" s="7">
        <v>3</v>
      </c>
      <c r="K419269" s="11">
        <v>2026</v>
      </c>
      <c r="L419269" t="s">
        <v>16</v>
      </c>
      <c r="M419269" t="s">
        <v>17</v>
      </c>
    </row>
    <row r="419270" spans="1:13" x14ac:dyDescent="0.25">
      <c r="A419270" s="6">
        <v>46146.875</v>
      </c>
      <c r="B419270" s="11">
        <v>5</v>
      </c>
      <c r="C419270" s="11">
        <v>19</v>
      </c>
      <c r="D419270" s="5" t="s">
        <v>20</v>
      </c>
      <c r="E419270" s="11" t="s">
        <v>14</v>
      </c>
      <c r="F419270" s="9" t="s">
        <v>22</v>
      </c>
      <c r="G419270">
        <v>1</v>
      </c>
      <c r="J419270" s="7">
        <v>2.3460000000000001</v>
      </c>
      <c r="K419270" s="11">
        <v>2026</v>
      </c>
      <c r="L419270" t="s">
        <v>25</v>
      </c>
      <c r="M419270" t="s">
        <v>17</v>
      </c>
    </row>
    <row r="419271" spans="1:13" x14ac:dyDescent="0.25">
      <c r="A419271" s="6">
        <v>46147.673611111109</v>
      </c>
      <c r="B419271" s="11">
        <v>5</v>
      </c>
      <c r="C419271" s="11">
        <v>19</v>
      </c>
      <c r="D419271" s="5" t="s">
        <v>20</v>
      </c>
      <c r="E419271" s="11" t="s">
        <v>14</v>
      </c>
      <c r="F419271" s="9" t="s">
        <v>22</v>
      </c>
      <c r="G419271">
        <v>1</v>
      </c>
      <c r="J419271" s="7">
        <v>1.6319999999999999</v>
      </c>
      <c r="K419271" s="11">
        <v>2026</v>
      </c>
      <c r="L419271" t="s">
        <v>25</v>
      </c>
      <c r="M419271" t="s">
        <v>17</v>
      </c>
    </row>
    <row r="419272" spans="1:13" x14ac:dyDescent="0.25">
      <c r="A419272" s="6">
        <v>46149</v>
      </c>
      <c r="B419272" s="11">
        <v>5</v>
      </c>
      <c r="C419272" s="11">
        <v>19</v>
      </c>
      <c r="D419272" s="5" t="s">
        <v>13</v>
      </c>
      <c r="E419272" s="11" t="s">
        <v>14</v>
      </c>
      <c r="F419272" s="9" t="s">
        <v>22</v>
      </c>
      <c r="G419272">
        <v>1</v>
      </c>
      <c r="J419272" s="7">
        <v>5.4</v>
      </c>
      <c r="K419272" s="11">
        <v>2026</v>
      </c>
      <c r="L419272" t="s">
        <v>25</v>
      </c>
      <c r="M419272" t="s">
        <v>17</v>
      </c>
    </row>
    <row r="419273" spans="1:13" x14ac:dyDescent="0.25">
      <c r="A419273" s="6">
        <v>46147</v>
      </c>
      <c r="B419273" s="11">
        <v>5</v>
      </c>
      <c r="C419273" s="11">
        <v>19</v>
      </c>
      <c r="D419273" s="5" t="s">
        <v>13</v>
      </c>
      <c r="E419273" s="11" t="s">
        <v>14</v>
      </c>
      <c r="F419273" s="9" t="s">
        <v>22</v>
      </c>
      <c r="G419273">
        <v>1</v>
      </c>
      <c r="J419273" s="7">
        <v>1.389</v>
      </c>
      <c r="K419273" s="11">
        <v>2026</v>
      </c>
      <c r="L419273" t="s">
        <v>25</v>
      </c>
      <c r="M419273" t="s">
        <v>17</v>
      </c>
    </row>
    <row r="419274" spans="1:13" x14ac:dyDescent="0.25">
      <c r="A419274" s="6">
        <v>46147</v>
      </c>
      <c r="B419274" s="11">
        <v>5</v>
      </c>
      <c r="C419274" s="11">
        <v>19</v>
      </c>
      <c r="D419274" s="5" t="s">
        <v>13</v>
      </c>
      <c r="E419274" s="11" t="s">
        <v>14</v>
      </c>
      <c r="F419274" s="9" t="s">
        <v>22</v>
      </c>
      <c r="G419274">
        <v>1</v>
      </c>
      <c r="J419274" s="7">
        <v>8.5609999999999999</v>
      </c>
      <c r="K419274" s="11">
        <v>2026</v>
      </c>
      <c r="L419274" t="s">
        <v>25</v>
      </c>
      <c r="M419274" t="s">
        <v>17</v>
      </c>
    </row>
    <row r="419275" spans="1:13" x14ac:dyDescent="0.25">
      <c r="A419275" s="6">
        <v>46147</v>
      </c>
      <c r="B419275" s="11">
        <v>5</v>
      </c>
      <c r="C419275" s="11">
        <v>19</v>
      </c>
      <c r="D419275" s="5" t="s">
        <v>13</v>
      </c>
      <c r="E419275" s="11" t="s">
        <v>14</v>
      </c>
      <c r="F419275" s="9" t="s">
        <v>22</v>
      </c>
      <c r="G419275">
        <v>1</v>
      </c>
      <c r="J419275" s="7">
        <v>10.090999999999999</v>
      </c>
      <c r="K419275" s="11">
        <v>2026</v>
      </c>
      <c r="L419275" t="s">
        <v>25</v>
      </c>
      <c r="M419275" t="s">
        <v>17</v>
      </c>
    </row>
    <row r="419276" spans="1:13" x14ac:dyDescent="0.25">
      <c r="A419276" s="6">
        <v>46147</v>
      </c>
      <c r="B419276" s="11">
        <v>5</v>
      </c>
      <c r="C419276" s="11">
        <v>19</v>
      </c>
      <c r="D419276" s="5" t="s">
        <v>13</v>
      </c>
      <c r="E419276" s="11" t="s">
        <v>14</v>
      </c>
      <c r="F419276" s="9" t="s">
        <v>22</v>
      </c>
      <c r="G419276">
        <v>1</v>
      </c>
      <c r="J419276" s="7">
        <v>1.27</v>
      </c>
      <c r="K419276" s="11">
        <v>2026</v>
      </c>
      <c r="L419276" t="s">
        <v>25</v>
      </c>
      <c r="M419276" t="s">
        <v>17</v>
      </c>
    </row>
    <row r="419277" spans="1:13" x14ac:dyDescent="0.25">
      <c r="A419277" s="6">
        <v>46147</v>
      </c>
      <c r="B419277" s="11">
        <v>5</v>
      </c>
      <c r="C419277" s="11">
        <v>19</v>
      </c>
      <c r="D419277" s="5" t="s">
        <v>13</v>
      </c>
      <c r="E419277" s="11" t="s">
        <v>14</v>
      </c>
      <c r="F419277" s="9" t="s">
        <v>22</v>
      </c>
      <c r="G419277">
        <v>1</v>
      </c>
      <c r="J419277" s="7">
        <v>2.5110000000000001</v>
      </c>
      <c r="K419277" s="11">
        <v>2026</v>
      </c>
      <c r="L419277" t="s">
        <v>25</v>
      </c>
      <c r="M419277" t="s">
        <v>17</v>
      </c>
    </row>
    <row r="419278" spans="1:13" x14ac:dyDescent="0.25">
      <c r="A419278" s="6">
        <v>46147</v>
      </c>
      <c r="B419278" s="11">
        <v>5</v>
      </c>
      <c r="C419278" s="11">
        <v>19</v>
      </c>
      <c r="D419278" s="5" t="s">
        <v>13</v>
      </c>
      <c r="E419278" s="11" t="s">
        <v>14</v>
      </c>
      <c r="F419278" s="9" t="s">
        <v>22</v>
      </c>
      <c r="G419278">
        <v>1</v>
      </c>
      <c r="J419278" s="7">
        <v>1.389</v>
      </c>
      <c r="K419278" s="11">
        <v>2026</v>
      </c>
      <c r="L419278" t="s">
        <v>25</v>
      </c>
      <c r="M419278" t="s">
        <v>17</v>
      </c>
    </row>
    <row r="419279" spans="1:13" x14ac:dyDescent="0.25">
      <c r="A419279" s="6">
        <v>46147</v>
      </c>
      <c r="B419279" s="11">
        <v>5</v>
      </c>
      <c r="C419279" s="11">
        <v>19</v>
      </c>
      <c r="D419279" s="5" t="s">
        <v>13</v>
      </c>
      <c r="E419279" s="11" t="s">
        <v>14</v>
      </c>
      <c r="F419279" s="9" t="s">
        <v>22</v>
      </c>
      <c r="G419279">
        <v>1</v>
      </c>
      <c r="J419279" s="7">
        <v>1.389</v>
      </c>
      <c r="K419279" s="11">
        <v>2026</v>
      </c>
      <c r="L419279" t="s">
        <v>25</v>
      </c>
      <c r="M419279" t="s">
        <v>17</v>
      </c>
    </row>
    <row r="419280" spans="1:13" x14ac:dyDescent="0.25">
      <c r="A419280" s="6">
        <v>46147</v>
      </c>
      <c r="B419280" s="11">
        <v>5</v>
      </c>
      <c r="C419280" s="11">
        <v>19</v>
      </c>
      <c r="D419280" s="5" t="s">
        <v>13</v>
      </c>
      <c r="E419280" s="11" t="s">
        <v>14</v>
      </c>
      <c r="F419280" s="9" t="s">
        <v>22</v>
      </c>
      <c r="G419280">
        <v>1</v>
      </c>
      <c r="J419280" s="7">
        <v>1.389</v>
      </c>
      <c r="K419280" s="11">
        <v>2026</v>
      </c>
      <c r="L419280" t="s">
        <v>25</v>
      </c>
      <c r="M419280" t="s">
        <v>17</v>
      </c>
    </row>
    <row r="419281" spans="1:13" x14ac:dyDescent="0.25">
      <c r="A419281" s="6">
        <v>46148.125</v>
      </c>
      <c r="B419281" s="11">
        <f t="shared" ref="B419281:B419293" si="113">MONTH(A419281)</f>
        <v>5</v>
      </c>
      <c r="C419281" s="11">
        <f t="shared" ref="C419281:C419293" si="114">WEEKNUM(A419281)</f>
        <v>19</v>
      </c>
      <c r="D419281" s="5" t="s">
        <v>18</v>
      </c>
      <c r="E419281" s="11" t="s">
        <v>14</v>
      </c>
      <c r="F419281" s="9" t="s">
        <v>15</v>
      </c>
      <c r="G419281">
        <v>1</v>
      </c>
      <c r="J419281" s="7">
        <v>3.2469999999999999</v>
      </c>
      <c r="K419281" s="11">
        <v>2026</v>
      </c>
      <c r="L419281" t="s">
        <v>25</v>
      </c>
      <c r="M419281" t="s">
        <v>17</v>
      </c>
    </row>
    <row r="419282" spans="1:13" x14ac:dyDescent="0.25">
      <c r="A419282" s="6">
        <v>46148.125</v>
      </c>
      <c r="B419282" s="11">
        <f t="shared" si="113"/>
        <v>5</v>
      </c>
      <c r="C419282" s="11">
        <f t="shared" si="114"/>
        <v>19</v>
      </c>
      <c r="D419282" s="5" t="s">
        <v>18</v>
      </c>
      <c r="E419282" s="11" t="s">
        <v>14</v>
      </c>
      <c r="F419282" s="9" t="s">
        <v>15</v>
      </c>
      <c r="G419282">
        <v>1</v>
      </c>
      <c r="J419282" s="7">
        <v>2.8839999999999999</v>
      </c>
      <c r="K419282" s="11">
        <v>2026</v>
      </c>
      <c r="L419282" t="s">
        <v>25</v>
      </c>
      <c r="M419282" t="s">
        <v>17</v>
      </c>
    </row>
    <row r="419283" spans="1:13" x14ac:dyDescent="0.25">
      <c r="A419283" s="6">
        <v>46148.125</v>
      </c>
      <c r="B419283" s="11">
        <f t="shared" si="113"/>
        <v>5</v>
      </c>
      <c r="C419283" s="11">
        <f t="shared" si="114"/>
        <v>19</v>
      </c>
      <c r="D419283" s="5" t="s">
        <v>18</v>
      </c>
      <c r="E419283" s="11" t="s">
        <v>14</v>
      </c>
      <c r="F419283" s="9" t="s">
        <v>15</v>
      </c>
      <c r="G419283">
        <v>1</v>
      </c>
      <c r="J419283" s="7">
        <v>4.2050000000000001</v>
      </c>
      <c r="K419283" s="11">
        <v>2026</v>
      </c>
      <c r="L419283" t="s">
        <v>25</v>
      </c>
      <c r="M419283" t="s">
        <v>17</v>
      </c>
    </row>
    <row r="419284" spans="1:13" x14ac:dyDescent="0.25">
      <c r="A419284" s="6">
        <v>46148.125</v>
      </c>
      <c r="B419284" s="11">
        <f t="shared" si="113"/>
        <v>5</v>
      </c>
      <c r="C419284" s="11">
        <f t="shared" si="114"/>
        <v>19</v>
      </c>
      <c r="D419284" s="5" t="s">
        <v>18</v>
      </c>
      <c r="E419284" s="11" t="s">
        <v>14</v>
      </c>
      <c r="F419284" s="9" t="s">
        <v>15</v>
      </c>
      <c r="G419284">
        <v>1</v>
      </c>
      <c r="J419284" s="7">
        <v>1.8520000000000001</v>
      </c>
      <c r="K419284" s="11">
        <v>2026</v>
      </c>
      <c r="L419284" t="s">
        <v>25</v>
      </c>
      <c r="M419284" t="s">
        <v>17</v>
      </c>
    </row>
    <row r="419285" spans="1:13" x14ac:dyDescent="0.25">
      <c r="A419285" s="6">
        <v>46148.125</v>
      </c>
      <c r="B419285" s="11">
        <f t="shared" si="113"/>
        <v>5</v>
      </c>
      <c r="C419285" s="11">
        <f t="shared" si="114"/>
        <v>19</v>
      </c>
      <c r="D419285" s="5" t="s">
        <v>18</v>
      </c>
      <c r="E419285" s="11" t="s">
        <v>14</v>
      </c>
      <c r="F419285" s="9" t="s">
        <v>15</v>
      </c>
      <c r="G419285">
        <v>1</v>
      </c>
      <c r="J419285" s="7">
        <v>0.33600000000000002</v>
      </c>
      <c r="K419285" s="11">
        <v>2026</v>
      </c>
      <c r="L419285" t="s">
        <v>25</v>
      </c>
      <c r="M419285" t="s">
        <v>17</v>
      </c>
    </row>
    <row r="419286" spans="1:13" x14ac:dyDescent="0.25">
      <c r="A419286" s="6">
        <v>46148.125</v>
      </c>
      <c r="B419286" s="11">
        <f t="shared" si="113"/>
        <v>5</v>
      </c>
      <c r="C419286" s="11">
        <f t="shared" si="114"/>
        <v>19</v>
      </c>
      <c r="D419286" s="5" t="s">
        <v>18</v>
      </c>
      <c r="E419286" s="11" t="s">
        <v>14</v>
      </c>
      <c r="F419286" s="9" t="s">
        <v>15</v>
      </c>
      <c r="G419286">
        <v>1</v>
      </c>
      <c r="J419286" s="7">
        <v>0.34</v>
      </c>
      <c r="K419286" s="11">
        <v>2026</v>
      </c>
      <c r="L419286" t="s">
        <v>25</v>
      </c>
      <c r="M419286" t="s">
        <v>17</v>
      </c>
    </row>
    <row r="419287" spans="1:13" x14ac:dyDescent="0.25">
      <c r="A419287" s="6">
        <v>46148</v>
      </c>
      <c r="B419287" s="11">
        <f t="shared" si="113"/>
        <v>5</v>
      </c>
      <c r="C419287" s="11">
        <f t="shared" si="114"/>
        <v>19</v>
      </c>
      <c r="D419287" s="5" t="s">
        <v>18</v>
      </c>
      <c r="E419287" s="11" t="s">
        <v>14</v>
      </c>
      <c r="F419287" s="9" t="s">
        <v>15</v>
      </c>
      <c r="G419287">
        <v>1</v>
      </c>
      <c r="J419287" s="7">
        <v>0.30099999999999999</v>
      </c>
      <c r="K419287" s="11">
        <v>2026</v>
      </c>
      <c r="L419287" t="s">
        <v>25</v>
      </c>
      <c r="M419287" t="s">
        <v>17</v>
      </c>
    </row>
    <row r="419288" spans="1:13" x14ac:dyDescent="0.25">
      <c r="A419288" s="6">
        <v>46148.125</v>
      </c>
      <c r="B419288" s="11">
        <f t="shared" si="113"/>
        <v>5</v>
      </c>
      <c r="C419288" s="11">
        <f t="shared" si="114"/>
        <v>19</v>
      </c>
      <c r="D419288" s="5" t="s">
        <v>18</v>
      </c>
      <c r="E419288" s="11" t="s">
        <v>14</v>
      </c>
      <c r="F419288" s="9" t="s">
        <v>15</v>
      </c>
      <c r="G419288">
        <v>1</v>
      </c>
      <c r="J419288" s="7">
        <v>0.69599999999999995</v>
      </c>
      <c r="K419288" s="11">
        <v>2026</v>
      </c>
      <c r="L419288" t="s">
        <v>25</v>
      </c>
      <c r="M419288" t="s">
        <v>17</v>
      </c>
    </row>
    <row r="419289" spans="1:13" x14ac:dyDescent="0.25">
      <c r="A419289" s="6">
        <v>46151.792361111111</v>
      </c>
      <c r="B419289" s="11">
        <f t="shared" si="113"/>
        <v>5</v>
      </c>
      <c r="C419289" s="11">
        <f t="shared" si="114"/>
        <v>19</v>
      </c>
      <c r="D419289" s="5" t="s">
        <v>18</v>
      </c>
      <c r="E419289" s="11" t="s">
        <v>14</v>
      </c>
      <c r="F419289" s="9" t="s">
        <v>15</v>
      </c>
      <c r="G419289">
        <v>1</v>
      </c>
      <c r="J419289" s="7">
        <v>4.0979999999999999</v>
      </c>
      <c r="K419289" s="11">
        <v>2026</v>
      </c>
      <c r="L419289" t="s">
        <v>25</v>
      </c>
      <c r="M419289" t="s">
        <v>17</v>
      </c>
    </row>
    <row r="419290" spans="1:13" x14ac:dyDescent="0.25">
      <c r="A419290" s="6">
        <v>46148.125</v>
      </c>
      <c r="B419290" s="11">
        <f t="shared" si="113"/>
        <v>5</v>
      </c>
      <c r="C419290" s="11">
        <f t="shared" si="114"/>
        <v>19</v>
      </c>
      <c r="D419290" s="5" t="s">
        <v>18</v>
      </c>
      <c r="E419290" s="11" t="s">
        <v>14</v>
      </c>
      <c r="F419290" s="9" t="s">
        <v>15</v>
      </c>
      <c r="G419290">
        <v>1</v>
      </c>
      <c r="J419290" s="7">
        <v>4.1719999999999997</v>
      </c>
      <c r="K419290" s="11">
        <v>2026</v>
      </c>
      <c r="L419290" t="s">
        <v>25</v>
      </c>
      <c r="M419290" t="s">
        <v>17</v>
      </c>
    </row>
    <row r="419291" spans="1:13" x14ac:dyDescent="0.25">
      <c r="A419291" s="6">
        <v>46148</v>
      </c>
      <c r="B419291" s="11">
        <f t="shared" si="113"/>
        <v>5</v>
      </c>
      <c r="C419291" s="11">
        <f t="shared" si="114"/>
        <v>19</v>
      </c>
      <c r="D419291" s="5" t="s">
        <v>18</v>
      </c>
      <c r="E419291" s="11" t="s">
        <v>14</v>
      </c>
      <c r="F419291" s="9" t="s">
        <v>15</v>
      </c>
      <c r="G419291">
        <v>1</v>
      </c>
      <c r="J419291" s="7">
        <v>5.2809999999999997</v>
      </c>
      <c r="K419291" s="11">
        <v>2026</v>
      </c>
      <c r="L419291" t="s">
        <v>25</v>
      </c>
      <c r="M419291" t="s">
        <v>17</v>
      </c>
    </row>
    <row r="419292" spans="1:13" x14ac:dyDescent="0.25">
      <c r="A419292" s="6">
        <v>46148</v>
      </c>
      <c r="B419292" s="11">
        <f t="shared" si="113"/>
        <v>5</v>
      </c>
      <c r="C419292" s="11">
        <f t="shared" si="114"/>
        <v>19</v>
      </c>
      <c r="D419292" s="5" t="s">
        <v>18</v>
      </c>
      <c r="E419292" s="11" t="s">
        <v>14</v>
      </c>
      <c r="F419292" s="9" t="s">
        <v>15</v>
      </c>
      <c r="G419292">
        <v>1</v>
      </c>
      <c r="J419292" s="7">
        <v>0.152</v>
      </c>
      <c r="K419292" s="11">
        <v>2026</v>
      </c>
      <c r="L419292" t="s">
        <v>25</v>
      </c>
      <c r="M419292" t="s">
        <v>17</v>
      </c>
    </row>
    <row r="419293" spans="1:13" x14ac:dyDescent="0.25">
      <c r="A419293" s="6">
        <v>46148</v>
      </c>
      <c r="B419293" s="11">
        <f t="shared" si="113"/>
        <v>5</v>
      </c>
      <c r="C419293" s="11">
        <f t="shared" si="114"/>
        <v>19</v>
      </c>
      <c r="D419293" s="5" t="s">
        <v>18</v>
      </c>
      <c r="E419293" s="11" t="s">
        <v>14</v>
      </c>
      <c r="F419293" s="9" t="s">
        <v>15</v>
      </c>
      <c r="G419293">
        <v>1</v>
      </c>
      <c r="J419293" s="7">
        <v>5.7889999999999997</v>
      </c>
      <c r="K419293" s="11">
        <v>2026</v>
      </c>
      <c r="L419293" t="s">
        <v>25</v>
      </c>
      <c r="M419293" t="s">
        <v>17</v>
      </c>
    </row>
    <row r="419294" spans="1:13" x14ac:dyDescent="0.25">
      <c r="A419294" s="6">
        <v>46147</v>
      </c>
      <c r="B419294" s="11">
        <v>5</v>
      </c>
      <c r="C419294" s="11">
        <v>19</v>
      </c>
      <c r="D419294" s="5" t="s">
        <v>21</v>
      </c>
      <c r="E419294" s="11" t="s">
        <v>14</v>
      </c>
      <c r="F419294" s="9" t="s">
        <v>22</v>
      </c>
      <c r="G419294">
        <v>1</v>
      </c>
      <c r="J419294" s="7">
        <v>2.3210000000000002</v>
      </c>
      <c r="K419294" s="11">
        <v>2026</v>
      </c>
      <c r="L419294" t="s">
        <v>25</v>
      </c>
      <c r="M419294" t="s">
        <v>17</v>
      </c>
    </row>
    <row r="419295" spans="1:13" x14ac:dyDescent="0.25">
      <c r="A419295" s="6">
        <v>46148.125</v>
      </c>
      <c r="B419295" s="11">
        <f t="shared" ref="B419295:B419301" si="115">MONTH(A419295)</f>
        <v>5</v>
      </c>
      <c r="C419295" s="11">
        <f t="shared" ref="C419295:C419301" si="116">WEEKNUM(A419295)</f>
        <v>19</v>
      </c>
      <c r="D419295" s="5" t="s">
        <v>18</v>
      </c>
      <c r="E419295" s="11" t="s">
        <v>14</v>
      </c>
      <c r="F419295" s="9" t="s">
        <v>15</v>
      </c>
      <c r="G419295">
        <v>1</v>
      </c>
      <c r="J419295" s="7">
        <v>0.89800000000000002</v>
      </c>
      <c r="K419295" s="11">
        <v>2026</v>
      </c>
      <c r="L419295" t="s">
        <v>25</v>
      </c>
      <c r="M419295" t="s">
        <v>17</v>
      </c>
    </row>
    <row r="419296" spans="1:13" x14ac:dyDescent="0.25">
      <c r="A419296" s="6">
        <v>46148.125</v>
      </c>
      <c r="B419296" s="11">
        <f t="shared" si="115"/>
        <v>5</v>
      </c>
      <c r="C419296" s="11">
        <f t="shared" si="116"/>
        <v>19</v>
      </c>
      <c r="D419296" s="5" t="s">
        <v>18</v>
      </c>
      <c r="E419296" s="11" t="s">
        <v>14</v>
      </c>
      <c r="F419296" s="9" t="s">
        <v>15</v>
      </c>
      <c r="G419296">
        <v>1</v>
      </c>
      <c r="J419296" s="7">
        <v>2.786</v>
      </c>
      <c r="K419296" s="11">
        <v>2026</v>
      </c>
      <c r="L419296" t="s">
        <v>25</v>
      </c>
      <c r="M419296" t="s">
        <v>17</v>
      </c>
    </row>
    <row r="419297" spans="1:13" x14ac:dyDescent="0.25">
      <c r="A419297" s="6">
        <v>46148.125</v>
      </c>
      <c r="B419297" s="11">
        <f t="shared" si="115"/>
        <v>5</v>
      </c>
      <c r="C419297" s="11">
        <f t="shared" si="116"/>
        <v>19</v>
      </c>
      <c r="D419297" s="5" t="s">
        <v>18</v>
      </c>
      <c r="E419297" s="11" t="s">
        <v>14</v>
      </c>
      <c r="F419297" s="9" t="s">
        <v>15</v>
      </c>
      <c r="G419297">
        <v>1</v>
      </c>
      <c r="J419297" s="7">
        <v>1.1180000000000001</v>
      </c>
      <c r="K419297" s="11">
        <v>2026</v>
      </c>
      <c r="L419297" t="s">
        <v>25</v>
      </c>
      <c r="M419297" t="s">
        <v>17</v>
      </c>
    </row>
    <row r="419298" spans="1:13" x14ac:dyDescent="0.25">
      <c r="A419298" s="6">
        <v>46148</v>
      </c>
      <c r="B419298" s="11">
        <f t="shared" si="115"/>
        <v>5</v>
      </c>
      <c r="C419298" s="11">
        <f t="shared" si="116"/>
        <v>19</v>
      </c>
      <c r="D419298" s="5" t="s">
        <v>18</v>
      </c>
      <c r="E419298" s="11" t="s">
        <v>14</v>
      </c>
      <c r="F419298" s="9" t="s">
        <v>15</v>
      </c>
      <c r="G419298">
        <v>1</v>
      </c>
      <c r="J419298" s="7">
        <v>0.51600000000000001</v>
      </c>
      <c r="K419298" s="11">
        <v>2026</v>
      </c>
      <c r="L419298" t="s">
        <v>25</v>
      </c>
      <c r="M419298" t="s">
        <v>17</v>
      </c>
    </row>
    <row r="419299" spans="1:13" x14ac:dyDescent="0.25">
      <c r="A419299" s="6">
        <v>46148</v>
      </c>
      <c r="B419299" s="11">
        <f t="shared" si="115"/>
        <v>5</v>
      </c>
      <c r="C419299" s="11">
        <f t="shared" si="116"/>
        <v>19</v>
      </c>
      <c r="D419299" s="5" t="s">
        <v>18</v>
      </c>
      <c r="E419299" s="11" t="s">
        <v>14</v>
      </c>
      <c r="F419299" s="9" t="s">
        <v>15</v>
      </c>
      <c r="G419299">
        <v>1</v>
      </c>
      <c r="J419299" s="7">
        <v>4.2290000000000001</v>
      </c>
      <c r="K419299" s="11">
        <v>2026</v>
      </c>
      <c r="L419299" t="s">
        <v>25</v>
      </c>
      <c r="M419299" t="s">
        <v>17</v>
      </c>
    </row>
    <row r="419300" spans="1:13" x14ac:dyDescent="0.25">
      <c r="A419300" s="6">
        <v>46148</v>
      </c>
      <c r="B419300" s="11">
        <f t="shared" si="115"/>
        <v>5</v>
      </c>
      <c r="C419300" s="11">
        <f t="shared" si="116"/>
        <v>19</v>
      </c>
      <c r="D419300" s="5" t="s">
        <v>18</v>
      </c>
      <c r="E419300" s="11" t="s">
        <v>14</v>
      </c>
      <c r="F419300" s="9" t="s">
        <v>15</v>
      </c>
      <c r="G419300">
        <v>1</v>
      </c>
      <c r="J419300" s="7">
        <v>5.1980000000000004</v>
      </c>
      <c r="K419300" s="11">
        <v>2026</v>
      </c>
      <c r="L419300" t="s">
        <v>25</v>
      </c>
      <c r="M419300" t="s">
        <v>17</v>
      </c>
    </row>
    <row r="419301" spans="1:13" x14ac:dyDescent="0.25">
      <c r="A419301" s="6">
        <v>46148</v>
      </c>
      <c r="B419301" s="11">
        <f t="shared" si="115"/>
        <v>5</v>
      </c>
      <c r="C419301" s="11">
        <f t="shared" si="116"/>
        <v>19</v>
      </c>
      <c r="D419301" s="5" t="s">
        <v>18</v>
      </c>
      <c r="E419301" s="11" t="s">
        <v>14</v>
      </c>
      <c r="F419301" s="9" t="s">
        <v>15</v>
      </c>
      <c r="G419301">
        <v>1</v>
      </c>
      <c r="J419301" s="7">
        <v>0.34399999999999997</v>
      </c>
      <c r="K419301" s="11">
        <v>2026</v>
      </c>
      <c r="L419301" t="s">
        <v>25</v>
      </c>
      <c r="M419301" t="s">
        <v>17</v>
      </c>
    </row>
    <row r="419302" spans="1:13" x14ac:dyDescent="0.25">
      <c r="A419302" s="6">
        <v>46147</v>
      </c>
      <c r="B419302" s="11">
        <v>5</v>
      </c>
      <c r="C419302" s="11">
        <v>19</v>
      </c>
      <c r="D419302" s="5" t="s">
        <v>18</v>
      </c>
      <c r="E419302" s="11" t="s">
        <v>14</v>
      </c>
      <c r="F419302" s="9" t="s">
        <v>22</v>
      </c>
      <c r="G419302">
        <v>1</v>
      </c>
      <c r="J419302" s="7">
        <v>1.6830000000000001</v>
      </c>
      <c r="K419302" s="11">
        <v>2026</v>
      </c>
      <c r="L419302" t="s">
        <v>25</v>
      </c>
      <c r="M419302" t="s">
        <v>17</v>
      </c>
    </row>
    <row r="419303" spans="1:13" x14ac:dyDescent="0.25">
      <c r="A419303" s="6">
        <v>46146</v>
      </c>
      <c r="B419303" s="11">
        <v>5</v>
      </c>
      <c r="C419303" s="11">
        <v>19</v>
      </c>
      <c r="D419303" s="5" t="s">
        <v>18</v>
      </c>
      <c r="E419303" s="11" t="s">
        <v>14</v>
      </c>
      <c r="F419303" s="9" t="s">
        <v>22</v>
      </c>
      <c r="G419303">
        <v>1</v>
      </c>
      <c r="J419303" s="7">
        <v>1.728</v>
      </c>
      <c r="K419303" s="11">
        <v>2026</v>
      </c>
      <c r="L419303" t="s">
        <v>25</v>
      </c>
      <c r="M419303" t="s">
        <v>17</v>
      </c>
    </row>
    <row r="419304" spans="1:13" x14ac:dyDescent="0.25">
      <c r="A419304" s="6">
        <v>46150.666666666664</v>
      </c>
      <c r="B419304" s="11">
        <f t="shared" ref="B419304:B419305" si="117">MONTH(A419304)</f>
        <v>5</v>
      </c>
      <c r="C419304" s="11">
        <f t="shared" ref="C419304:C419305" si="118">WEEKNUM(A419304)</f>
        <v>19</v>
      </c>
      <c r="D419304" s="5" t="s">
        <v>18</v>
      </c>
      <c r="E419304" s="11" t="s">
        <v>14</v>
      </c>
      <c r="F419304" s="9" t="s">
        <v>15</v>
      </c>
      <c r="G419304">
        <v>1</v>
      </c>
      <c r="J419304" s="7">
        <v>2.839</v>
      </c>
      <c r="K419304" s="11">
        <v>2026</v>
      </c>
      <c r="L419304" t="s">
        <v>25</v>
      </c>
      <c r="M419304" t="s">
        <v>17</v>
      </c>
    </row>
    <row r="419305" spans="1:13" x14ac:dyDescent="0.25">
      <c r="A419305" s="6">
        <v>46148.1875</v>
      </c>
      <c r="B419305" s="11">
        <f t="shared" si="117"/>
        <v>5</v>
      </c>
      <c r="C419305" s="11">
        <f t="shared" si="118"/>
        <v>19</v>
      </c>
      <c r="D419305" s="5" t="s">
        <v>18</v>
      </c>
      <c r="E419305" s="11" t="s">
        <v>14</v>
      </c>
      <c r="F419305" s="9" t="s">
        <v>15</v>
      </c>
      <c r="G419305">
        <v>1</v>
      </c>
      <c r="J419305" s="7">
        <v>0.59399999999999997</v>
      </c>
      <c r="K419305" s="11">
        <v>2026</v>
      </c>
      <c r="L419305" t="s">
        <v>25</v>
      </c>
      <c r="M419305" t="s">
        <v>17</v>
      </c>
    </row>
    <row r="419306" spans="1:13" x14ac:dyDescent="0.25">
      <c r="A419306" s="6">
        <v>46145</v>
      </c>
      <c r="B419306" s="11">
        <v>5</v>
      </c>
      <c r="C419306" s="11">
        <v>19</v>
      </c>
      <c r="D419306" s="5" t="s">
        <v>19</v>
      </c>
      <c r="E419306" s="11" t="s">
        <v>14</v>
      </c>
      <c r="F419306" s="9" t="s">
        <v>22</v>
      </c>
      <c r="G419306">
        <v>1</v>
      </c>
      <c r="J419306" s="7">
        <v>0.69499999999999995</v>
      </c>
      <c r="K419306" s="11">
        <v>2026</v>
      </c>
      <c r="L419306" t="s">
        <v>25</v>
      </c>
      <c r="M419306" t="s">
        <v>17</v>
      </c>
    </row>
    <row r="419307" spans="1:13" x14ac:dyDescent="0.25">
      <c r="A419307" s="6">
        <v>46145</v>
      </c>
      <c r="B419307" s="11">
        <v>5</v>
      </c>
      <c r="C419307" s="11">
        <v>19</v>
      </c>
      <c r="D419307" s="5" t="s">
        <v>19</v>
      </c>
      <c r="E419307" s="11" t="s">
        <v>14</v>
      </c>
      <c r="F419307" s="9" t="s">
        <v>22</v>
      </c>
      <c r="G419307">
        <v>1</v>
      </c>
      <c r="J419307" s="7">
        <v>2.516</v>
      </c>
      <c r="K419307" s="11">
        <v>2026</v>
      </c>
      <c r="L419307" t="s">
        <v>25</v>
      </c>
      <c r="M419307" t="s">
        <v>17</v>
      </c>
    </row>
    <row r="419308" spans="1:13" x14ac:dyDescent="0.25">
      <c r="A419308" s="6">
        <v>46150.666666666664</v>
      </c>
      <c r="B419308" s="11">
        <f t="shared" ref="B419308" si="119">MONTH(A419308)</f>
        <v>5</v>
      </c>
      <c r="C419308" s="11">
        <f t="shared" ref="C419308" si="120">WEEKNUM(A419308)</f>
        <v>19</v>
      </c>
      <c r="D419308" s="5" t="s">
        <v>18</v>
      </c>
      <c r="E419308" s="11" t="s">
        <v>14</v>
      </c>
      <c r="F419308" s="9" t="s">
        <v>15</v>
      </c>
      <c r="G419308">
        <v>1</v>
      </c>
      <c r="J419308" s="7">
        <v>1.5860000000000001</v>
      </c>
      <c r="K419308" s="11">
        <v>2026</v>
      </c>
      <c r="L419308" t="s">
        <v>25</v>
      </c>
      <c r="M419308" t="s">
        <v>17</v>
      </c>
    </row>
    <row r="419309" spans="1:13" x14ac:dyDescent="0.25">
      <c r="A419309" s="6">
        <v>46150</v>
      </c>
      <c r="B419309" s="11">
        <v>5</v>
      </c>
      <c r="C419309" s="11">
        <v>19</v>
      </c>
      <c r="D419309" s="5" t="s">
        <v>13</v>
      </c>
      <c r="E419309" s="11" t="s">
        <v>14</v>
      </c>
      <c r="F419309" s="9" t="s">
        <v>22</v>
      </c>
      <c r="G419309">
        <v>1</v>
      </c>
      <c r="J419309" s="7">
        <v>1.696</v>
      </c>
      <c r="K419309" s="11">
        <v>2026</v>
      </c>
      <c r="L419309" t="s">
        <v>25</v>
      </c>
      <c r="M419309" t="s">
        <v>17</v>
      </c>
    </row>
    <row r="419310" spans="1:13" x14ac:dyDescent="0.25">
      <c r="A419310" s="6">
        <v>46150</v>
      </c>
      <c r="B419310" s="11">
        <v>5</v>
      </c>
      <c r="C419310" s="11">
        <v>19</v>
      </c>
      <c r="D419310" s="5" t="s">
        <v>13</v>
      </c>
      <c r="E419310" s="11" t="s">
        <v>14</v>
      </c>
      <c r="F419310" s="9" t="s">
        <v>22</v>
      </c>
      <c r="G419310">
        <v>1</v>
      </c>
      <c r="J419310" s="7">
        <v>4.9260000000000002</v>
      </c>
      <c r="K419310" s="11">
        <v>2026</v>
      </c>
      <c r="L419310" t="s">
        <v>25</v>
      </c>
      <c r="M419310" t="s">
        <v>17</v>
      </c>
    </row>
    <row r="419311" spans="1:13" x14ac:dyDescent="0.25">
      <c r="A419311" s="6">
        <v>46147.693749999999</v>
      </c>
      <c r="B419311" s="11">
        <v>5</v>
      </c>
      <c r="C419311" s="11">
        <v>19</v>
      </c>
      <c r="D419311" s="5" t="s">
        <v>18</v>
      </c>
      <c r="E419311" s="11" t="s">
        <v>14</v>
      </c>
      <c r="F419311" s="9" t="s">
        <v>22</v>
      </c>
      <c r="G419311">
        <v>1</v>
      </c>
      <c r="J419311" s="7">
        <v>1.51</v>
      </c>
      <c r="K419311" s="11">
        <v>2026</v>
      </c>
      <c r="L419311" t="s">
        <v>25</v>
      </c>
      <c r="M419311" t="s">
        <v>17</v>
      </c>
    </row>
    <row r="419312" spans="1:13" x14ac:dyDescent="0.25">
      <c r="A419312" s="6">
        <v>46147.693749999999</v>
      </c>
      <c r="B419312" s="11">
        <v>5</v>
      </c>
      <c r="C419312" s="11">
        <v>19</v>
      </c>
      <c r="D419312" s="5" t="s">
        <v>18</v>
      </c>
      <c r="E419312" s="11" t="s">
        <v>14</v>
      </c>
      <c r="F419312" s="9" t="s">
        <v>22</v>
      </c>
      <c r="G419312">
        <v>1</v>
      </c>
      <c r="J419312" s="7">
        <v>1.96</v>
      </c>
      <c r="K419312" s="11">
        <v>2026</v>
      </c>
      <c r="L419312" t="s">
        <v>25</v>
      </c>
      <c r="M419312" t="s">
        <v>17</v>
      </c>
    </row>
    <row r="419313" spans="1:13" x14ac:dyDescent="0.25">
      <c r="A419313" s="6">
        <v>46151</v>
      </c>
      <c r="B419313" s="11">
        <v>5</v>
      </c>
      <c r="C419313" s="11">
        <v>19</v>
      </c>
      <c r="D419313" s="5" t="s">
        <v>21</v>
      </c>
      <c r="E419313" s="11" t="s">
        <v>14</v>
      </c>
      <c r="F419313" s="9" t="s">
        <v>22</v>
      </c>
      <c r="G419313">
        <v>1</v>
      </c>
      <c r="J419313" s="7">
        <v>5.4089999999999998</v>
      </c>
      <c r="K419313" s="11">
        <v>2026</v>
      </c>
      <c r="L419313" t="s">
        <v>25</v>
      </c>
      <c r="M419313" t="s">
        <v>17</v>
      </c>
    </row>
    <row r="419314" spans="1:13" x14ac:dyDescent="0.25">
      <c r="A419314" s="6">
        <v>46147.541666666664</v>
      </c>
      <c r="B419314" s="11">
        <f t="shared" ref="B419314:B419321" si="121">MONTH(A419314)</f>
        <v>5</v>
      </c>
      <c r="C419314" s="11">
        <f t="shared" ref="C419314:C419321" si="122">WEEKNUM(A419314)</f>
        <v>19</v>
      </c>
      <c r="D419314" s="5" t="s">
        <v>13</v>
      </c>
      <c r="E419314" s="11" t="s">
        <v>14</v>
      </c>
      <c r="F419314" s="9" t="s">
        <v>15</v>
      </c>
      <c r="G419314">
        <v>1</v>
      </c>
      <c r="J419314" s="7">
        <v>3.0419999999999998</v>
      </c>
      <c r="K419314" s="11">
        <v>2026</v>
      </c>
      <c r="L419314" t="s">
        <v>25</v>
      </c>
      <c r="M419314" t="s">
        <v>17</v>
      </c>
    </row>
    <row r="419315" spans="1:13" x14ac:dyDescent="0.25">
      <c r="A419315" s="6">
        <v>46147.541666666664</v>
      </c>
      <c r="B419315" s="11">
        <f t="shared" si="121"/>
        <v>5</v>
      </c>
      <c r="C419315" s="11">
        <f t="shared" si="122"/>
        <v>19</v>
      </c>
      <c r="D419315" s="5" t="s">
        <v>13</v>
      </c>
      <c r="E419315" s="11" t="s">
        <v>14</v>
      </c>
      <c r="F419315" s="9" t="s">
        <v>15</v>
      </c>
      <c r="G419315">
        <v>1</v>
      </c>
      <c r="J419315" s="7">
        <v>3.8220000000000001</v>
      </c>
      <c r="K419315" s="11">
        <v>2026</v>
      </c>
      <c r="L419315" t="s">
        <v>25</v>
      </c>
      <c r="M419315" t="s">
        <v>17</v>
      </c>
    </row>
    <row r="419316" spans="1:13" x14ac:dyDescent="0.25">
      <c r="A419316" s="6">
        <v>46147.541666666664</v>
      </c>
      <c r="B419316" s="11">
        <f t="shared" si="121"/>
        <v>5</v>
      </c>
      <c r="C419316" s="11">
        <f t="shared" si="122"/>
        <v>19</v>
      </c>
      <c r="D419316" s="5" t="s">
        <v>13</v>
      </c>
      <c r="E419316" s="11" t="s">
        <v>14</v>
      </c>
      <c r="F419316" s="9" t="s">
        <v>15</v>
      </c>
      <c r="G419316">
        <v>1</v>
      </c>
      <c r="J419316" s="7">
        <v>1.1659999999999999</v>
      </c>
      <c r="K419316" s="11">
        <v>2026</v>
      </c>
      <c r="L419316" t="s">
        <v>25</v>
      </c>
      <c r="M419316" t="s">
        <v>17</v>
      </c>
    </row>
    <row r="419317" spans="1:13" x14ac:dyDescent="0.25">
      <c r="A419317" s="6">
        <v>46147.541666666664</v>
      </c>
      <c r="B419317" s="11">
        <f t="shared" si="121"/>
        <v>5</v>
      </c>
      <c r="C419317" s="11">
        <f t="shared" si="122"/>
        <v>19</v>
      </c>
      <c r="D419317" s="5" t="s">
        <v>13</v>
      </c>
      <c r="E419317" s="11" t="s">
        <v>14</v>
      </c>
      <c r="F419317" s="9" t="s">
        <v>15</v>
      </c>
      <c r="G419317">
        <v>1</v>
      </c>
      <c r="J419317" s="7">
        <v>1.206</v>
      </c>
      <c r="K419317" s="11">
        <v>2026</v>
      </c>
      <c r="L419317" t="s">
        <v>25</v>
      </c>
      <c r="M419317" t="s">
        <v>17</v>
      </c>
    </row>
    <row r="419318" spans="1:13" x14ac:dyDescent="0.25">
      <c r="A419318" s="6">
        <v>46147.541666666664</v>
      </c>
      <c r="B419318" s="11">
        <f t="shared" si="121"/>
        <v>5</v>
      </c>
      <c r="C419318" s="11">
        <f t="shared" si="122"/>
        <v>19</v>
      </c>
      <c r="D419318" s="5" t="s">
        <v>13</v>
      </c>
      <c r="E419318" s="11" t="s">
        <v>14</v>
      </c>
      <c r="F419318" s="9" t="s">
        <v>15</v>
      </c>
      <c r="G419318">
        <v>1</v>
      </c>
      <c r="J419318" s="7">
        <v>5.6420000000000003</v>
      </c>
      <c r="K419318" s="11">
        <v>2026</v>
      </c>
      <c r="L419318" t="s">
        <v>25</v>
      </c>
      <c r="M419318" t="s">
        <v>17</v>
      </c>
    </row>
    <row r="419319" spans="1:13" x14ac:dyDescent="0.25">
      <c r="A419319" s="6">
        <v>46147.541666666664</v>
      </c>
      <c r="B419319" s="11">
        <f t="shared" si="121"/>
        <v>5</v>
      </c>
      <c r="C419319" s="11">
        <f t="shared" si="122"/>
        <v>19</v>
      </c>
      <c r="D419319" s="5" t="s">
        <v>13</v>
      </c>
      <c r="E419319" s="11" t="s">
        <v>14</v>
      </c>
      <c r="F419319" s="9" t="s">
        <v>15</v>
      </c>
      <c r="G419319">
        <v>1</v>
      </c>
      <c r="J419319" s="7">
        <v>5.5549999999999997</v>
      </c>
      <c r="K419319" s="11">
        <v>2026</v>
      </c>
      <c r="L419319" t="s">
        <v>25</v>
      </c>
      <c r="M419319" t="s">
        <v>17</v>
      </c>
    </row>
    <row r="419320" spans="1:13" x14ac:dyDescent="0.25">
      <c r="A419320" s="6">
        <v>46147.541666666664</v>
      </c>
      <c r="B419320" s="11">
        <f t="shared" si="121"/>
        <v>5</v>
      </c>
      <c r="C419320" s="11">
        <f t="shared" si="122"/>
        <v>19</v>
      </c>
      <c r="D419320" s="5" t="s">
        <v>18</v>
      </c>
      <c r="E419320" s="11" t="s">
        <v>14</v>
      </c>
      <c r="F419320" s="9" t="s">
        <v>15</v>
      </c>
      <c r="G419320">
        <v>1</v>
      </c>
      <c r="J419320" s="7">
        <v>1.371</v>
      </c>
      <c r="K419320" s="11">
        <v>2026</v>
      </c>
      <c r="L419320" t="s">
        <v>25</v>
      </c>
      <c r="M419320" t="s">
        <v>17</v>
      </c>
    </row>
    <row r="419321" spans="1:13" x14ac:dyDescent="0.25">
      <c r="A419321" s="6">
        <v>46147.541666666664</v>
      </c>
      <c r="B419321" s="11">
        <f t="shared" si="121"/>
        <v>5</v>
      </c>
      <c r="C419321" s="11">
        <f t="shared" si="122"/>
        <v>19</v>
      </c>
      <c r="D419321" s="5" t="s">
        <v>13</v>
      </c>
      <c r="E419321" s="11" t="s">
        <v>14</v>
      </c>
      <c r="F419321" s="9" t="s">
        <v>15</v>
      </c>
      <c r="G419321">
        <v>1</v>
      </c>
      <c r="J419321" s="7">
        <v>8.5999999999999993E-2</v>
      </c>
      <c r="K419321" s="11">
        <v>2026</v>
      </c>
      <c r="L419321" t="s">
        <v>25</v>
      </c>
      <c r="M419321" t="s">
        <v>17</v>
      </c>
    </row>
    <row r="419322" spans="1:13" x14ac:dyDescent="0.25">
      <c r="A419322" s="6">
        <v>46147</v>
      </c>
      <c r="B419322" s="11">
        <v>5</v>
      </c>
      <c r="C419322" s="11">
        <v>19</v>
      </c>
      <c r="D419322" s="5" t="s">
        <v>19</v>
      </c>
      <c r="E419322" s="11" t="s">
        <v>14</v>
      </c>
      <c r="F419322" s="9" t="s">
        <v>22</v>
      </c>
      <c r="G419322">
        <v>1</v>
      </c>
      <c r="J419322" s="7">
        <v>4.7859999999999996</v>
      </c>
      <c r="K419322" s="11">
        <v>2026</v>
      </c>
      <c r="L419322" t="s">
        <v>25</v>
      </c>
      <c r="M419322" t="s">
        <v>17</v>
      </c>
    </row>
    <row r="419323" spans="1:13" x14ac:dyDescent="0.25">
      <c r="A419323" s="6">
        <v>46147.541666666664</v>
      </c>
      <c r="B419323" s="11">
        <f t="shared" ref="B419323" si="123">MONTH(A419323)</f>
        <v>5</v>
      </c>
      <c r="C419323" s="11">
        <f t="shared" ref="C419323" si="124">WEEKNUM(A419323)</f>
        <v>19</v>
      </c>
      <c r="D419323" s="5" t="s">
        <v>18</v>
      </c>
      <c r="E419323" s="11" t="s">
        <v>14</v>
      </c>
      <c r="F419323" s="9" t="s">
        <v>15</v>
      </c>
      <c r="G419323">
        <v>1</v>
      </c>
      <c r="J419323" s="7">
        <v>1.681</v>
      </c>
      <c r="K419323" s="11">
        <v>2026</v>
      </c>
      <c r="L419323" t="s">
        <v>25</v>
      </c>
      <c r="M419323" t="s">
        <v>17</v>
      </c>
    </row>
    <row r="419324" spans="1:13" x14ac:dyDescent="0.25">
      <c r="A419324" s="6">
        <v>46147</v>
      </c>
      <c r="B419324" s="11">
        <v>5</v>
      </c>
      <c r="C419324" s="11">
        <v>19</v>
      </c>
      <c r="D419324" s="5" t="s">
        <v>13</v>
      </c>
      <c r="E419324" s="11" t="s">
        <v>14</v>
      </c>
      <c r="F419324" s="9" t="s">
        <v>22</v>
      </c>
      <c r="G419324">
        <v>1</v>
      </c>
      <c r="J419324" s="7">
        <v>1</v>
      </c>
      <c r="K419324" s="11">
        <v>2026</v>
      </c>
      <c r="L419324" t="s">
        <v>25</v>
      </c>
      <c r="M419324" t="s">
        <v>17</v>
      </c>
    </row>
    <row r="419325" spans="1:13" x14ac:dyDescent="0.25">
      <c r="A419325" s="6">
        <v>46148</v>
      </c>
      <c r="B419325" s="11">
        <f t="shared" ref="B419325:B419330" si="125">MONTH(A419325)</f>
        <v>5</v>
      </c>
      <c r="C419325" s="11">
        <f t="shared" ref="C419325:C419330" si="126">WEEKNUM(A419325)</f>
        <v>19</v>
      </c>
      <c r="D419325" s="5" t="s">
        <v>13</v>
      </c>
      <c r="E419325" s="11" t="s">
        <v>14</v>
      </c>
      <c r="F419325" s="9" t="s">
        <v>15</v>
      </c>
      <c r="G419325">
        <v>1</v>
      </c>
      <c r="J419325" s="7">
        <v>3.8879999999999999</v>
      </c>
      <c r="K419325" s="11">
        <v>2026</v>
      </c>
      <c r="L419325" t="s">
        <v>25</v>
      </c>
      <c r="M419325" t="s">
        <v>17</v>
      </c>
    </row>
    <row r="419326" spans="1:13" x14ac:dyDescent="0.25">
      <c r="A419326" s="6">
        <v>46148.125</v>
      </c>
      <c r="B419326" s="11">
        <f t="shared" si="125"/>
        <v>5</v>
      </c>
      <c r="C419326" s="11">
        <f t="shared" si="126"/>
        <v>19</v>
      </c>
      <c r="D419326" s="5" t="s">
        <v>13</v>
      </c>
      <c r="E419326" s="11" t="s">
        <v>14</v>
      </c>
      <c r="F419326" s="9" t="s">
        <v>15</v>
      </c>
      <c r="G419326">
        <v>1</v>
      </c>
      <c r="J419326" s="7">
        <v>2.7490000000000001</v>
      </c>
      <c r="K419326" s="11">
        <v>2026</v>
      </c>
      <c r="L419326" t="s">
        <v>25</v>
      </c>
      <c r="M419326" t="s">
        <v>17</v>
      </c>
    </row>
    <row r="419327" spans="1:13" x14ac:dyDescent="0.25">
      <c r="A419327" s="6">
        <v>46151.792361111111</v>
      </c>
      <c r="B419327" s="11">
        <f t="shared" si="125"/>
        <v>5</v>
      </c>
      <c r="C419327" s="11">
        <f t="shared" si="126"/>
        <v>19</v>
      </c>
      <c r="D419327" s="5" t="s">
        <v>13</v>
      </c>
      <c r="E419327" s="11" t="s">
        <v>14</v>
      </c>
      <c r="F419327" s="9" t="s">
        <v>15</v>
      </c>
      <c r="G419327">
        <v>1</v>
      </c>
      <c r="J419327" s="7">
        <v>7.8019999999999996</v>
      </c>
      <c r="K419327" s="11">
        <v>2026</v>
      </c>
      <c r="L419327" t="s">
        <v>25</v>
      </c>
      <c r="M419327" t="s">
        <v>17</v>
      </c>
    </row>
    <row r="419328" spans="1:13" x14ac:dyDescent="0.25">
      <c r="A419328" s="6">
        <v>46151.792361111111</v>
      </c>
      <c r="B419328" s="11">
        <f t="shared" si="125"/>
        <v>5</v>
      </c>
      <c r="C419328" s="11">
        <f t="shared" si="126"/>
        <v>19</v>
      </c>
      <c r="D419328" s="5" t="s">
        <v>13</v>
      </c>
      <c r="E419328" s="11" t="s">
        <v>14</v>
      </c>
      <c r="F419328" s="9" t="s">
        <v>15</v>
      </c>
      <c r="G419328">
        <v>1</v>
      </c>
      <c r="J419328" s="7">
        <v>1.4790000000000001</v>
      </c>
      <c r="K419328" s="11">
        <v>2026</v>
      </c>
      <c r="L419328" t="s">
        <v>25</v>
      </c>
      <c r="M419328" t="s">
        <v>17</v>
      </c>
    </row>
    <row r="419329" spans="1:13" x14ac:dyDescent="0.25">
      <c r="A419329" s="6">
        <v>46148</v>
      </c>
      <c r="B419329" s="11">
        <f t="shared" si="125"/>
        <v>5</v>
      </c>
      <c r="C419329" s="11">
        <f t="shared" si="126"/>
        <v>19</v>
      </c>
      <c r="D419329" s="5" t="s">
        <v>13</v>
      </c>
      <c r="E419329" s="11" t="s">
        <v>14</v>
      </c>
      <c r="F419329" s="9" t="s">
        <v>15</v>
      </c>
      <c r="G419329">
        <v>1</v>
      </c>
      <c r="J419329" s="7">
        <v>1.718</v>
      </c>
      <c r="K419329" s="11">
        <v>2026</v>
      </c>
      <c r="L419329" t="s">
        <v>25</v>
      </c>
      <c r="M419329" t="s">
        <v>17</v>
      </c>
    </row>
    <row r="419330" spans="1:13" x14ac:dyDescent="0.25">
      <c r="A419330" s="6">
        <v>46148</v>
      </c>
      <c r="B419330" s="11">
        <f t="shared" si="125"/>
        <v>5</v>
      </c>
      <c r="C419330" s="11">
        <f t="shared" si="126"/>
        <v>19</v>
      </c>
      <c r="D419330" s="5" t="s">
        <v>13</v>
      </c>
      <c r="E419330" s="11" t="s">
        <v>14</v>
      </c>
      <c r="F419330" s="9" t="s">
        <v>15</v>
      </c>
      <c r="G419330">
        <v>1</v>
      </c>
      <c r="J419330" s="7">
        <v>2.661</v>
      </c>
      <c r="K419330" s="11">
        <v>2026</v>
      </c>
      <c r="L419330" t="s">
        <v>25</v>
      </c>
      <c r="M419330" t="s">
        <v>17</v>
      </c>
    </row>
    <row r="419331" spans="1:13" x14ac:dyDescent="0.25">
      <c r="A419331" s="6">
        <v>46146.875</v>
      </c>
      <c r="B419331" s="11">
        <v>5</v>
      </c>
      <c r="C419331" s="11">
        <v>19</v>
      </c>
      <c r="D419331" s="5" t="s">
        <v>20</v>
      </c>
      <c r="E419331" s="11" t="s">
        <v>14</v>
      </c>
      <c r="F419331" s="9" t="s">
        <v>22</v>
      </c>
      <c r="G419331">
        <v>1</v>
      </c>
      <c r="J419331" s="7">
        <v>1.2589999999999999</v>
      </c>
      <c r="K419331" s="11">
        <v>2026</v>
      </c>
      <c r="L419331" t="s">
        <v>25</v>
      </c>
      <c r="M419331" t="s">
        <v>17</v>
      </c>
    </row>
    <row r="419332" spans="1:13" x14ac:dyDescent="0.25">
      <c r="A419332" s="6">
        <v>46147</v>
      </c>
      <c r="B419332" s="11">
        <f t="shared" ref="B419332:B419347" si="127">MONTH(A419332)</f>
        <v>5</v>
      </c>
      <c r="C419332" s="11">
        <f t="shared" ref="C419332:C419347" si="128">WEEKNUM(A419332)</f>
        <v>19</v>
      </c>
      <c r="D419332" s="5" t="s">
        <v>13</v>
      </c>
      <c r="E419332" s="11" t="s">
        <v>14</v>
      </c>
      <c r="F419332" s="9" t="s">
        <v>15</v>
      </c>
      <c r="G419332">
        <v>1</v>
      </c>
      <c r="J419332" s="7">
        <v>0.78</v>
      </c>
      <c r="K419332" s="11">
        <v>2026</v>
      </c>
      <c r="L419332" t="s">
        <v>25</v>
      </c>
      <c r="M419332" t="s">
        <v>17</v>
      </c>
    </row>
    <row r="419333" spans="1:13" x14ac:dyDescent="0.25">
      <c r="A419333" s="6">
        <v>46147</v>
      </c>
      <c r="B419333" s="11">
        <f t="shared" si="127"/>
        <v>5</v>
      </c>
      <c r="C419333" s="11">
        <f t="shared" si="128"/>
        <v>19</v>
      </c>
      <c r="D419333" s="5" t="s">
        <v>13</v>
      </c>
      <c r="E419333" s="11" t="s">
        <v>14</v>
      </c>
      <c r="F419333" s="9" t="s">
        <v>15</v>
      </c>
      <c r="G419333">
        <v>1</v>
      </c>
      <c r="J419333" s="7">
        <v>10.08</v>
      </c>
      <c r="K419333" s="11">
        <v>2026</v>
      </c>
      <c r="L419333" t="s">
        <v>25</v>
      </c>
      <c r="M419333" t="s">
        <v>17</v>
      </c>
    </row>
    <row r="419334" spans="1:13" x14ac:dyDescent="0.25">
      <c r="A419334" s="6">
        <v>46150.666666666664</v>
      </c>
      <c r="B419334" s="11">
        <f t="shared" si="127"/>
        <v>5</v>
      </c>
      <c r="C419334" s="11">
        <f t="shared" si="128"/>
        <v>19</v>
      </c>
      <c r="D419334" s="5" t="s">
        <v>13</v>
      </c>
      <c r="E419334" s="11" t="s">
        <v>14</v>
      </c>
      <c r="F419334" s="9" t="s">
        <v>15</v>
      </c>
      <c r="G419334">
        <v>1</v>
      </c>
      <c r="J419334" s="7">
        <v>0.59399999999999997</v>
      </c>
      <c r="K419334" s="11">
        <v>2026</v>
      </c>
      <c r="L419334" t="s">
        <v>25</v>
      </c>
      <c r="M419334" t="s">
        <v>17</v>
      </c>
    </row>
    <row r="419335" spans="1:13" x14ac:dyDescent="0.25">
      <c r="A419335" s="6">
        <v>46150.666666666664</v>
      </c>
      <c r="B419335" s="11">
        <f t="shared" si="127"/>
        <v>5</v>
      </c>
      <c r="C419335" s="11">
        <f t="shared" si="128"/>
        <v>19</v>
      </c>
      <c r="D419335" s="5" t="s">
        <v>13</v>
      </c>
      <c r="E419335" s="11" t="s">
        <v>14</v>
      </c>
      <c r="F419335" s="9" t="s">
        <v>15</v>
      </c>
      <c r="G419335">
        <v>1</v>
      </c>
      <c r="J419335" s="7">
        <v>5.0640000000000001</v>
      </c>
      <c r="K419335" s="11">
        <v>2026</v>
      </c>
      <c r="L419335" t="s">
        <v>25</v>
      </c>
      <c r="M419335" t="s">
        <v>17</v>
      </c>
    </row>
    <row r="419336" spans="1:13" x14ac:dyDescent="0.25">
      <c r="A419336" s="6">
        <v>46150.666666666664</v>
      </c>
      <c r="B419336" s="11">
        <f t="shared" si="127"/>
        <v>5</v>
      </c>
      <c r="C419336" s="11">
        <f t="shared" si="128"/>
        <v>19</v>
      </c>
      <c r="D419336" s="5" t="s">
        <v>13</v>
      </c>
      <c r="E419336" s="11" t="s">
        <v>14</v>
      </c>
      <c r="F419336" s="9" t="s">
        <v>15</v>
      </c>
      <c r="G419336">
        <v>1</v>
      </c>
      <c r="J419336" s="7">
        <v>0.46500000000000002</v>
      </c>
      <c r="K419336" s="11">
        <v>2026</v>
      </c>
      <c r="L419336" t="s">
        <v>25</v>
      </c>
      <c r="M419336" t="s">
        <v>17</v>
      </c>
    </row>
    <row r="419337" spans="1:13" x14ac:dyDescent="0.25">
      <c r="A419337" s="6">
        <v>46148.1875</v>
      </c>
      <c r="B419337" s="11">
        <f t="shared" si="127"/>
        <v>5</v>
      </c>
      <c r="C419337" s="11">
        <f t="shared" si="128"/>
        <v>19</v>
      </c>
      <c r="D419337" s="5" t="s">
        <v>13</v>
      </c>
      <c r="E419337" s="11" t="s">
        <v>14</v>
      </c>
      <c r="F419337" s="9" t="s">
        <v>15</v>
      </c>
      <c r="G419337">
        <v>1</v>
      </c>
      <c r="J419337" s="7">
        <v>26.457999999999998</v>
      </c>
      <c r="K419337" s="11">
        <v>2026</v>
      </c>
      <c r="L419337" t="s">
        <v>25</v>
      </c>
      <c r="M419337" t="s">
        <v>17</v>
      </c>
    </row>
    <row r="419338" spans="1:13" x14ac:dyDescent="0.25">
      <c r="A419338" s="6">
        <v>46148.1875</v>
      </c>
      <c r="B419338" s="11">
        <f t="shared" si="127"/>
        <v>5</v>
      </c>
      <c r="C419338" s="11">
        <f t="shared" si="128"/>
        <v>19</v>
      </c>
      <c r="D419338" s="5" t="s">
        <v>18</v>
      </c>
      <c r="E419338" s="11" t="s">
        <v>14</v>
      </c>
      <c r="F419338" s="9" t="s">
        <v>15</v>
      </c>
      <c r="G419338">
        <v>1</v>
      </c>
      <c r="J419338" s="7">
        <v>3.4319999999999999</v>
      </c>
      <c r="K419338" s="11">
        <v>2026</v>
      </c>
      <c r="L419338" t="s">
        <v>25</v>
      </c>
      <c r="M419338" t="s">
        <v>17</v>
      </c>
    </row>
    <row r="419339" spans="1:13" x14ac:dyDescent="0.25">
      <c r="A419339" s="6">
        <v>46148.1875</v>
      </c>
      <c r="B419339" s="11">
        <f t="shared" si="127"/>
        <v>5</v>
      </c>
      <c r="C419339" s="11">
        <f t="shared" si="128"/>
        <v>19</v>
      </c>
      <c r="D419339" s="5" t="s">
        <v>18</v>
      </c>
      <c r="E419339" s="11" t="s">
        <v>14</v>
      </c>
      <c r="F419339" s="9" t="s">
        <v>15</v>
      </c>
      <c r="G419339">
        <v>1</v>
      </c>
      <c r="J419339" s="7">
        <v>10.68</v>
      </c>
      <c r="K419339" s="11">
        <v>2026</v>
      </c>
      <c r="L419339" t="s">
        <v>25</v>
      </c>
      <c r="M419339" t="s">
        <v>17</v>
      </c>
    </row>
    <row r="419340" spans="1:13" x14ac:dyDescent="0.25">
      <c r="A419340" s="6">
        <v>46150.666666666664</v>
      </c>
      <c r="B419340" s="11">
        <f t="shared" si="127"/>
        <v>5</v>
      </c>
      <c r="C419340" s="11">
        <f t="shared" si="128"/>
        <v>19</v>
      </c>
      <c r="D419340" s="5" t="s">
        <v>13</v>
      </c>
      <c r="E419340" s="11" t="s">
        <v>14</v>
      </c>
      <c r="F419340" s="9" t="s">
        <v>15</v>
      </c>
      <c r="G419340">
        <v>1</v>
      </c>
      <c r="J419340" s="7">
        <v>1.26</v>
      </c>
      <c r="K419340" s="11">
        <v>2026</v>
      </c>
      <c r="L419340" t="s">
        <v>25</v>
      </c>
      <c r="M419340" t="s">
        <v>17</v>
      </c>
    </row>
    <row r="419341" spans="1:13" x14ac:dyDescent="0.25">
      <c r="A419341" s="6">
        <v>46150.666666666664</v>
      </c>
      <c r="B419341" s="11">
        <f t="shared" si="127"/>
        <v>5</v>
      </c>
      <c r="C419341" s="11">
        <f t="shared" si="128"/>
        <v>19</v>
      </c>
      <c r="D419341" s="5" t="s">
        <v>13</v>
      </c>
      <c r="E419341" s="11" t="s">
        <v>14</v>
      </c>
      <c r="F419341" s="9" t="s">
        <v>15</v>
      </c>
      <c r="G419341">
        <v>1</v>
      </c>
      <c r="J419341" s="7">
        <v>5.96</v>
      </c>
      <c r="K419341" s="11">
        <v>2026</v>
      </c>
      <c r="L419341" t="s">
        <v>25</v>
      </c>
      <c r="M419341" t="s">
        <v>17</v>
      </c>
    </row>
    <row r="419342" spans="1:13" x14ac:dyDescent="0.25">
      <c r="A419342" s="6">
        <v>46150.666666666664</v>
      </c>
      <c r="B419342" s="11">
        <f t="shared" si="127"/>
        <v>5</v>
      </c>
      <c r="C419342" s="11">
        <f t="shared" si="128"/>
        <v>19</v>
      </c>
      <c r="D419342" s="5" t="s">
        <v>13</v>
      </c>
      <c r="E419342" s="11" t="s">
        <v>14</v>
      </c>
      <c r="F419342" s="9" t="s">
        <v>15</v>
      </c>
      <c r="G419342">
        <v>1</v>
      </c>
      <c r="J419342" s="7">
        <v>1.9890000000000001</v>
      </c>
      <c r="K419342" s="11">
        <v>2026</v>
      </c>
      <c r="L419342" t="s">
        <v>25</v>
      </c>
      <c r="M419342" t="s">
        <v>17</v>
      </c>
    </row>
    <row r="419343" spans="1:13" x14ac:dyDescent="0.25">
      <c r="A419343" s="6">
        <v>46150.666666666664</v>
      </c>
      <c r="B419343" s="11">
        <f t="shared" si="127"/>
        <v>5</v>
      </c>
      <c r="C419343" s="11">
        <f t="shared" si="128"/>
        <v>19</v>
      </c>
      <c r="D419343" s="5" t="s">
        <v>18</v>
      </c>
      <c r="E419343" s="11" t="s">
        <v>14</v>
      </c>
      <c r="F419343" s="9" t="s">
        <v>15</v>
      </c>
      <c r="G419343">
        <v>1</v>
      </c>
      <c r="J419343" s="7">
        <v>14.95</v>
      </c>
      <c r="K419343" s="11">
        <v>2026</v>
      </c>
      <c r="L419343" t="s">
        <v>25</v>
      </c>
      <c r="M419343" t="s">
        <v>17</v>
      </c>
    </row>
    <row r="419344" spans="1:13" x14ac:dyDescent="0.25">
      <c r="A419344" s="6">
        <v>46148.1875</v>
      </c>
      <c r="B419344" s="11">
        <f t="shared" si="127"/>
        <v>5</v>
      </c>
      <c r="C419344" s="11">
        <f t="shared" si="128"/>
        <v>19</v>
      </c>
      <c r="D419344" s="5" t="s">
        <v>13</v>
      </c>
      <c r="E419344" s="11" t="s">
        <v>14</v>
      </c>
      <c r="F419344" s="9" t="s">
        <v>15</v>
      </c>
      <c r="G419344">
        <v>1</v>
      </c>
      <c r="J419344" s="7">
        <v>27.445</v>
      </c>
      <c r="K419344" s="11">
        <v>2026</v>
      </c>
      <c r="L419344" t="s">
        <v>25</v>
      </c>
      <c r="M419344" t="s">
        <v>17</v>
      </c>
    </row>
    <row r="419345" spans="1:13" x14ac:dyDescent="0.25">
      <c r="A419345" s="6">
        <v>46148.1875</v>
      </c>
      <c r="B419345" s="11">
        <f t="shared" si="127"/>
        <v>5</v>
      </c>
      <c r="C419345" s="11">
        <f t="shared" si="128"/>
        <v>19</v>
      </c>
      <c r="D419345" s="5" t="s">
        <v>18</v>
      </c>
      <c r="E419345" s="11" t="s">
        <v>14</v>
      </c>
      <c r="F419345" s="9" t="s">
        <v>15</v>
      </c>
      <c r="G419345">
        <v>1</v>
      </c>
      <c r="J419345" s="7">
        <v>3.84</v>
      </c>
      <c r="K419345" s="11">
        <v>2026</v>
      </c>
      <c r="L419345" t="s">
        <v>25</v>
      </c>
      <c r="M419345" t="s">
        <v>17</v>
      </c>
    </row>
    <row r="419346" spans="1:13" x14ac:dyDescent="0.25">
      <c r="A419346" s="6">
        <v>46148.1875</v>
      </c>
      <c r="B419346" s="11">
        <f t="shared" si="127"/>
        <v>5</v>
      </c>
      <c r="C419346" s="11">
        <f t="shared" si="128"/>
        <v>19</v>
      </c>
      <c r="D419346" s="5" t="s">
        <v>13</v>
      </c>
      <c r="E419346" s="11" t="s">
        <v>14</v>
      </c>
      <c r="F419346" s="9" t="s">
        <v>15</v>
      </c>
      <c r="G419346">
        <v>1</v>
      </c>
      <c r="J419346" s="7">
        <v>13.247999999999999</v>
      </c>
      <c r="K419346" s="11">
        <v>2026</v>
      </c>
      <c r="L419346" t="s">
        <v>25</v>
      </c>
      <c r="M419346" t="s">
        <v>17</v>
      </c>
    </row>
    <row r="419347" spans="1:13" x14ac:dyDescent="0.25">
      <c r="A419347" s="6">
        <v>46148.1875</v>
      </c>
      <c r="B419347" s="11">
        <f t="shared" si="127"/>
        <v>5</v>
      </c>
      <c r="C419347" s="11">
        <f t="shared" si="128"/>
        <v>19</v>
      </c>
      <c r="D419347" s="5" t="s">
        <v>13</v>
      </c>
      <c r="E419347" s="11" t="s">
        <v>14</v>
      </c>
      <c r="F419347" s="9" t="s">
        <v>15</v>
      </c>
      <c r="G419347">
        <v>1</v>
      </c>
      <c r="J419347" s="7">
        <v>0.33600000000000002</v>
      </c>
      <c r="K419347" s="11">
        <v>2026</v>
      </c>
      <c r="L419347" t="s">
        <v>25</v>
      </c>
      <c r="M419347" t="s">
        <v>17</v>
      </c>
    </row>
    <row r="419348" spans="1:13" x14ac:dyDescent="0.25">
      <c r="A419348" s="6">
        <v>46147</v>
      </c>
      <c r="B419348" s="11">
        <v>5</v>
      </c>
      <c r="C419348" s="11">
        <v>19</v>
      </c>
      <c r="D419348" s="5" t="s">
        <v>13</v>
      </c>
      <c r="E419348" s="11" t="s">
        <v>14</v>
      </c>
      <c r="F419348" s="9" t="s">
        <v>22</v>
      </c>
      <c r="G419348">
        <v>1</v>
      </c>
      <c r="J419348" s="7">
        <v>6</v>
      </c>
      <c r="K419348" s="11">
        <v>2026</v>
      </c>
      <c r="L419348" t="s">
        <v>25</v>
      </c>
      <c r="M419348" t="s">
        <v>17</v>
      </c>
    </row>
    <row r="419349" spans="1:13" x14ac:dyDescent="0.25">
      <c r="A419349" s="6">
        <v>46147</v>
      </c>
      <c r="B419349" s="11">
        <f t="shared" ref="B419349" si="129">MONTH(A419349)</f>
        <v>5</v>
      </c>
      <c r="C419349" s="11">
        <f t="shared" ref="C419349" si="130">WEEKNUM(A419349)</f>
        <v>19</v>
      </c>
      <c r="D419349" s="5" t="s">
        <v>18</v>
      </c>
      <c r="E419349" s="11" t="s">
        <v>14</v>
      </c>
      <c r="F419349" s="9" t="s">
        <v>15</v>
      </c>
      <c r="G419349">
        <v>1</v>
      </c>
      <c r="J419349" s="7">
        <v>1.28</v>
      </c>
      <c r="K419349" s="11">
        <v>2026</v>
      </c>
      <c r="L419349" t="s">
        <v>25</v>
      </c>
      <c r="M419349" t="s">
        <v>17</v>
      </c>
    </row>
    <row r="419350" spans="1:13" x14ac:dyDescent="0.25">
      <c r="A419350" s="6">
        <v>46147</v>
      </c>
      <c r="B419350" s="11">
        <v>5</v>
      </c>
      <c r="C419350" s="11">
        <v>19</v>
      </c>
      <c r="D419350" s="5" t="s">
        <v>13</v>
      </c>
      <c r="E419350" s="11" t="s">
        <v>14</v>
      </c>
      <c r="F419350" s="9" t="s">
        <v>22</v>
      </c>
      <c r="G419350">
        <v>1</v>
      </c>
      <c r="J419350" s="7">
        <v>2.3660000000000001</v>
      </c>
      <c r="K419350" s="11">
        <v>2026</v>
      </c>
      <c r="L419350" t="s">
        <v>25</v>
      </c>
      <c r="M419350" t="s">
        <v>17</v>
      </c>
    </row>
    <row r="419351" spans="1:13" x14ac:dyDescent="0.25">
      <c r="A419351" s="6">
        <v>46147</v>
      </c>
      <c r="B419351" s="11">
        <v>5</v>
      </c>
      <c r="C419351" s="11">
        <v>19</v>
      </c>
      <c r="D419351" s="5" t="s">
        <v>13</v>
      </c>
      <c r="E419351" s="11" t="s">
        <v>14</v>
      </c>
      <c r="F419351" s="9" t="s">
        <v>22</v>
      </c>
      <c r="G419351">
        <v>1</v>
      </c>
      <c r="J419351" s="7">
        <v>0.96</v>
      </c>
      <c r="K419351" s="11">
        <v>2026</v>
      </c>
      <c r="L419351" t="s">
        <v>25</v>
      </c>
      <c r="M419351" t="s">
        <v>17</v>
      </c>
    </row>
    <row r="419352" spans="1:13" x14ac:dyDescent="0.25">
      <c r="A419352" s="6">
        <v>46147</v>
      </c>
      <c r="B419352" s="11">
        <v>5</v>
      </c>
      <c r="C419352" s="11">
        <v>19</v>
      </c>
      <c r="D419352" s="5" t="s">
        <v>13</v>
      </c>
      <c r="E419352" s="11" t="s">
        <v>14</v>
      </c>
      <c r="F419352" s="9" t="s">
        <v>22</v>
      </c>
      <c r="G419352">
        <v>1</v>
      </c>
      <c r="J419352" s="7">
        <v>0.69099999999999995</v>
      </c>
      <c r="K419352" s="11">
        <v>2026</v>
      </c>
      <c r="L419352" t="s">
        <v>25</v>
      </c>
      <c r="M419352" t="s">
        <v>17</v>
      </c>
    </row>
    <row r="419353" spans="1:13" x14ac:dyDescent="0.25">
      <c r="A419353" s="6">
        <v>46148</v>
      </c>
      <c r="B419353" s="11">
        <f t="shared" ref="B419353:B419356" si="131">MONTH(A419353)</f>
        <v>5</v>
      </c>
      <c r="C419353" s="11">
        <f t="shared" ref="C419353:C419356" si="132">WEEKNUM(A419353)</f>
        <v>19</v>
      </c>
      <c r="D419353" s="5" t="s">
        <v>18</v>
      </c>
      <c r="E419353" s="11" t="s">
        <v>14</v>
      </c>
      <c r="F419353" s="9" t="s">
        <v>15</v>
      </c>
      <c r="G419353">
        <v>1</v>
      </c>
      <c r="J419353" s="7">
        <v>0.443</v>
      </c>
      <c r="K419353" s="11">
        <v>2026</v>
      </c>
      <c r="L419353" t="s">
        <v>25</v>
      </c>
      <c r="M419353" t="s">
        <v>17</v>
      </c>
    </row>
    <row r="419354" spans="1:13" x14ac:dyDescent="0.25">
      <c r="A419354" s="6">
        <v>46148.125</v>
      </c>
      <c r="B419354" s="11">
        <f t="shared" si="131"/>
        <v>5</v>
      </c>
      <c r="C419354" s="11">
        <f t="shared" si="132"/>
        <v>19</v>
      </c>
      <c r="D419354" s="5" t="s">
        <v>13</v>
      </c>
      <c r="E419354" s="11" t="s">
        <v>14</v>
      </c>
      <c r="F419354" s="9" t="s">
        <v>15</v>
      </c>
      <c r="G419354">
        <v>1</v>
      </c>
      <c r="J419354" s="7">
        <v>0.246</v>
      </c>
      <c r="K419354" s="11">
        <v>2026</v>
      </c>
      <c r="L419354" t="s">
        <v>25</v>
      </c>
      <c r="M419354" t="s">
        <v>17</v>
      </c>
    </row>
    <row r="419355" spans="1:13" x14ac:dyDescent="0.25">
      <c r="A419355" s="6">
        <v>46148.125</v>
      </c>
      <c r="B419355" s="11">
        <f t="shared" si="131"/>
        <v>5</v>
      </c>
      <c r="C419355" s="11">
        <f t="shared" si="132"/>
        <v>19</v>
      </c>
      <c r="D419355" s="5" t="s">
        <v>18</v>
      </c>
      <c r="E419355" s="11" t="s">
        <v>14</v>
      </c>
      <c r="F419355" s="9" t="s">
        <v>15</v>
      </c>
      <c r="G419355">
        <v>1</v>
      </c>
      <c r="J419355" s="7">
        <v>15.481999999999999</v>
      </c>
      <c r="K419355" s="11">
        <v>2026</v>
      </c>
      <c r="L419355" t="s">
        <v>25</v>
      </c>
      <c r="M419355" t="s">
        <v>17</v>
      </c>
    </row>
    <row r="419356" spans="1:13" x14ac:dyDescent="0.25">
      <c r="A419356" s="6">
        <v>46148</v>
      </c>
      <c r="B419356" s="11">
        <f t="shared" si="131"/>
        <v>5</v>
      </c>
      <c r="C419356" s="11">
        <f t="shared" si="132"/>
        <v>19</v>
      </c>
      <c r="D419356" s="5" t="s">
        <v>18</v>
      </c>
      <c r="E419356" s="11" t="s">
        <v>14</v>
      </c>
      <c r="F419356" s="9" t="s">
        <v>15</v>
      </c>
      <c r="G419356">
        <v>1</v>
      </c>
      <c r="J419356" s="7">
        <v>0.89300000000000002</v>
      </c>
      <c r="K419356" s="11">
        <v>2026</v>
      </c>
      <c r="L419356" t="s">
        <v>25</v>
      </c>
      <c r="M419356" t="s">
        <v>17</v>
      </c>
    </row>
    <row r="419357" spans="1:13" x14ac:dyDescent="0.25">
      <c r="A419357" s="6">
        <v>46146.166666666664</v>
      </c>
      <c r="B419357" s="11">
        <v>5</v>
      </c>
      <c r="C419357" s="11">
        <v>19</v>
      </c>
      <c r="D419357" s="5" t="s">
        <v>18</v>
      </c>
      <c r="E419357" s="11" t="s">
        <v>14</v>
      </c>
      <c r="F419357" s="9" t="s">
        <v>22</v>
      </c>
      <c r="G419357">
        <v>1</v>
      </c>
      <c r="J419357" s="7">
        <v>2.2709999999999999</v>
      </c>
      <c r="K419357" s="11">
        <v>2026</v>
      </c>
      <c r="L419357" t="s">
        <v>25</v>
      </c>
      <c r="M419357" t="s">
        <v>17</v>
      </c>
    </row>
    <row r="419358" spans="1:13" x14ac:dyDescent="0.25">
      <c r="A419358" s="6">
        <v>46151.792361111111</v>
      </c>
      <c r="B419358" s="11">
        <f t="shared" ref="B419358" si="133">MONTH(A419358)</f>
        <v>5</v>
      </c>
      <c r="C419358" s="11">
        <f t="shared" ref="C419358" si="134">WEEKNUM(A419358)</f>
        <v>19</v>
      </c>
      <c r="D419358" s="5" t="s">
        <v>13</v>
      </c>
      <c r="E419358" s="11" t="s">
        <v>14</v>
      </c>
      <c r="F419358" s="9" t="s">
        <v>15</v>
      </c>
      <c r="G419358">
        <v>1</v>
      </c>
      <c r="J419358" s="7">
        <v>0.47199999999999998</v>
      </c>
      <c r="K419358" s="11">
        <v>2026</v>
      </c>
      <c r="L419358" t="s">
        <v>25</v>
      </c>
      <c r="M419358" t="s">
        <v>17</v>
      </c>
    </row>
    <row r="419359" spans="1:13" x14ac:dyDescent="0.25">
      <c r="A419359" s="6">
        <v>46151.791666666664</v>
      </c>
      <c r="B419359" s="11">
        <v>5</v>
      </c>
      <c r="C419359" s="11">
        <v>19</v>
      </c>
      <c r="D419359" s="5" t="s">
        <v>13</v>
      </c>
      <c r="E419359" s="11" t="s">
        <v>14</v>
      </c>
      <c r="F419359" s="9" t="s">
        <v>22</v>
      </c>
      <c r="G419359">
        <v>1</v>
      </c>
      <c r="J419359" s="7">
        <v>1.7290000000000001</v>
      </c>
      <c r="K419359" s="11">
        <v>2026</v>
      </c>
      <c r="L419359" t="s">
        <v>25</v>
      </c>
      <c r="M419359" t="s">
        <v>17</v>
      </c>
    </row>
    <row r="419360" spans="1:13" x14ac:dyDescent="0.25">
      <c r="A419360" s="6">
        <v>46151.791666666664</v>
      </c>
      <c r="B419360" s="11">
        <v>5</v>
      </c>
      <c r="C419360" s="11">
        <v>19</v>
      </c>
      <c r="D419360" s="5" t="s">
        <v>13</v>
      </c>
      <c r="E419360" s="11" t="s">
        <v>14</v>
      </c>
      <c r="F419360" s="9" t="s">
        <v>22</v>
      </c>
      <c r="G419360">
        <v>1</v>
      </c>
      <c r="J419360" s="7">
        <v>0.86399999999999999</v>
      </c>
      <c r="K419360" s="11">
        <v>2026</v>
      </c>
      <c r="L419360" t="s">
        <v>25</v>
      </c>
      <c r="M419360" t="s">
        <v>17</v>
      </c>
    </row>
    <row r="419361" spans="1:13" x14ac:dyDescent="0.25">
      <c r="A419361" s="6">
        <v>46151.791666666664</v>
      </c>
      <c r="B419361" s="11">
        <v>5</v>
      </c>
      <c r="C419361" s="11">
        <v>19</v>
      </c>
      <c r="D419361" s="5" t="s">
        <v>13</v>
      </c>
      <c r="E419361" s="11" t="s">
        <v>14</v>
      </c>
      <c r="F419361" s="9" t="s">
        <v>22</v>
      </c>
      <c r="G419361">
        <v>1</v>
      </c>
      <c r="J419361" s="7">
        <v>1.75</v>
      </c>
      <c r="K419361" s="11">
        <v>2026</v>
      </c>
      <c r="L419361" t="s">
        <v>25</v>
      </c>
      <c r="M419361" t="s">
        <v>17</v>
      </c>
    </row>
    <row r="419362" spans="1:13" x14ac:dyDescent="0.25">
      <c r="A419362" s="6">
        <v>46147</v>
      </c>
      <c r="B419362" s="11">
        <f t="shared" ref="B419362:B419363" si="135">MONTH(A419362)</f>
        <v>5</v>
      </c>
      <c r="C419362" s="11">
        <f t="shared" ref="C419362:C419363" si="136">WEEKNUM(A419362)</f>
        <v>19</v>
      </c>
      <c r="D419362" s="5" t="s">
        <v>13</v>
      </c>
      <c r="E419362" s="11" t="s">
        <v>14</v>
      </c>
      <c r="F419362" s="9" t="s">
        <v>15</v>
      </c>
      <c r="G419362">
        <v>1</v>
      </c>
      <c r="J419362" s="7">
        <v>3.62</v>
      </c>
      <c r="K419362" s="11">
        <v>2026</v>
      </c>
      <c r="L419362" t="s">
        <v>25</v>
      </c>
      <c r="M419362" t="s">
        <v>17</v>
      </c>
    </row>
    <row r="419363" spans="1:13" x14ac:dyDescent="0.25">
      <c r="A419363" s="6">
        <v>46147</v>
      </c>
      <c r="B419363" s="11">
        <f t="shared" si="135"/>
        <v>5</v>
      </c>
      <c r="C419363" s="11">
        <f t="shared" si="136"/>
        <v>19</v>
      </c>
      <c r="D419363" s="5" t="s">
        <v>13</v>
      </c>
      <c r="E419363" s="11" t="s">
        <v>14</v>
      </c>
      <c r="F419363" s="9" t="s">
        <v>15</v>
      </c>
      <c r="G419363">
        <v>1</v>
      </c>
      <c r="J419363" s="7">
        <v>0.56000000000000005</v>
      </c>
      <c r="K419363" s="11">
        <v>2026</v>
      </c>
      <c r="L419363" t="s">
        <v>25</v>
      </c>
      <c r="M419363" t="s">
        <v>17</v>
      </c>
    </row>
    <row r="419364" spans="1:13" x14ac:dyDescent="0.25">
      <c r="A419364" s="6">
        <v>46149</v>
      </c>
      <c r="B419364" s="11">
        <v>5</v>
      </c>
      <c r="C419364" s="11">
        <v>19</v>
      </c>
      <c r="D419364" s="5" t="s">
        <v>13</v>
      </c>
      <c r="E419364" s="11" t="s">
        <v>14</v>
      </c>
      <c r="F419364" s="9" t="s">
        <v>22</v>
      </c>
      <c r="G419364">
        <v>1</v>
      </c>
      <c r="J419364" s="7">
        <v>1</v>
      </c>
      <c r="K419364" s="11">
        <v>2026</v>
      </c>
      <c r="L419364" t="s">
        <v>25</v>
      </c>
      <c r="M419364" t="s">
        <v>17</v>
      </c>
    </row>
    <row r="419365" spans="1:13" x14ac:dyDescent="0.25">
      <c r="A419365" s="6">
        <v>46149</v>
      </c>
      <c r="B419365" s="11">
        <v>5</v>
      </c>
      <c r="C419365" s="11">
        <v>19</v>
      </c>
      <c r="D419365" s="5" t="s">
        <v>13</v>
      </c>
      <c r="E419365" s="11" t="s">
        <v>14</v>
      </c>
      <c r="F419365" s="9" t="s">
        <v>22</v>
      </c>
      <c r="G419365">
        <v>1</v>
      </c>
      <c r="J419365" s="7">
        <v>2</v>
      </c>
      <c r="K419365" s="11">
        <v>2026</v>
      </c>
      <c r="L419365" t="s">
        <v>25</v>
      </c>
      <c r="M419365" t="s">
        <v>17</v>
      </c>
    </row>
    <row r="419366" spans="1:13" x14ac:dyDescent="0.25">
      <c r="A419366" s="6">
        <v>46147</v>
      </c>
      <c r="B419366" s="11">
        <f t="shared" ref="B419366:B419371" si="137">MONTH(A419366)</f>
        <v>5</v>
      </c>
      <c r="C419366" s="11">
        <f t="shared" ref="C419366:C419371" si="138">WEEKNUM(A419366)</f>
        <v>19</v>
      </c>
      <c r="D419366" s="5" t="s">
        <v>13</v>
      </c>
      <c r="E419366" s="11" t="s">
        <v>14</v>
      </c>
      <c r="F419366" s="9" t="s">
        <v>15</v>
      </c>
      <c r="G419366">
        <v>1</v>
      </c>
      <c r="J419366" s="7">
        <v>2.7E-2</v>
      </c>
      <c r="K419366" s="11">
        <v>2026</v>
      </c>
      <c r="L419366" t="s">
        <v>25</v>
      </c>
      <c r="M419366" t="s">
        <v>17</v>
      </c>
    </row>
    <row r="419367" spans="1:13" x14ac:dyDescent="0.25">
      <c r="A419367" s="6">
        <v>46147</v>
      </c>
      <c r="B419367" s="11">
        <f t="shared" si="137"/>
        <v>5</v>
      </c>
      <c r="C419367" s="11">
        <f t="shared" si="138"/>
        <v>19</v>
      </c>
      <c r="D419367" s="5" t="s">
        <v>13</v>
      </c>
      <c r="E419367" s="11" t="s">
        <v>14</v>
      </c>
      <c r="F419367" s="9" t="s">
        <v>15</v>
      </c>
      <c r="G419367">
        <v>1</v>
      </c>
      <c r="J419367" s="7">
        <v>2.7E-2</v>
      </c>
      <c r="K419367" s="11">
        <v>2026</v>
      </c>
      <c r="L419367" t="s">
        <v>25</v>
      </c>
      <c r="M419367" t="s">
        <v>17</v>
      </c>
    </row>
    <row r="419368" spans="1:13" x14ac:dyDescent="0.25">
      <c r="A419368" s="6">
        <v>46147</v>
      </c>
      <c r="B419368" s="11">
        <f t="shared" si="137"/>
        <v>5</v>
      </c>
      <c r="C419368" s="11">
        <f t="shared" si="138"/>
        <v>19</v>
      </c>
      <c r="D419368" s="5" t="s">
        <v>13</v>
      </c>
      <c r="E419368" s="11" t="s">
        <v>14</v>
      </c>
      <c r="F419368" s="9" t="s">
        <v>15</v>
      </c>
      <c r="G419368">
        <v>1</v>
      </c>
      <c r="J419368" s="7">
        <v>1.2070000000000001</v>
      </c>
      <c r="K419368" s="11">
        <v>2026</v>
      </c>
      <c r="L419368" t="s">
        <v>25</v>
      </c>
      <c r="M419368" t="s">
        <v>17</v>
      </c>
    </row>
    <row r="419369" spans="1:13" x14ac:dyDescent="0.25">
      <c r="A419369" s="6">
        <v>46147</v>
      </c>
      <c r="B419369" s="11">
        <f t="shared" si="137"/>
        <v>5</v>
      </c>
      <c r="C419369" s="11">
        <f t="shared" si="138"/>
        <v>19</v>
      </c>
      <c r="D419369" s="5" t="s">
        <v>13</v>
      </c>
      <c r="E419369" s="11" t="s">
        <v>14</v>
      </c>
      <c r="F419369" s="9" t="s">
        <v>15</v>
      </c>
      <c r="G419369">
        <v>1</v>
      </c>
      <c r="J419369" s="7">
        <v>0.06</v>
      </c>
      <c r="K419369" s="11">
        <v>2026</v>
      </c>
      <c r="L419369" t="s">
        <v>25</v>
      </c>
      <c r="M419369" t="s">
        <v>17</v>
      </c>
    </row>
    <row r="419370" spans="1:13" x14ac:dyDescent="0.25">
      <c r="A419370" s="6">
        <v>46151.791666666664</v>
      </c>
      <c r="B419370" s="11">
        <f t="shared" si="137"/>
        <v>5</v>
      </c>
      <c r="C419370" s="11">
        <f t="shared" si="138"/>
        <v>19</v>
      </c>
      <c r="D419370" s="5" t="s">
        <v>13</v>
      </c>
      <c r="E419370" s="11" t="s">
        <v>14</v>
      </c>
      <c r="F419370" s="9" t="s">
        <v>15</v>
      </c>
      <c r="G419370">
        <v>1</v>
      </c>
      <c r="J419370" s="7">
        <v>12.519</v>
      </c>
      <c r="K419370" s="11">
        <v>2026</v>
      </c>
      <c r="L419370" t="s">
        <v>25</v>
      </c>
      <c r="M419370" t="s">
        <v>17</v>
      </c>
    </row>
    <row r="419371" spans="1:13" x14ac:dyDescent="0.25">
      <c r="A419371" s="6">
        <v>46147</v>
      </c>
      <c r="B419371" s="11">
        <f t="shared" si="137"/>
        <v>5</v>
      </c>
      <c r="C419371" s="11">
        <f t="shared" si="138"/>
        <v>19</v>
      </c>
      <c r="D419371" s="5" t="s">
        <v>13</v>
      </c>
      <c r="E419371" s="11" t="s">
        <v>14</v>
      </c>
      <c r="F419371" s="9" t="s">
        <v>15</v>
      </c>
      <c r="G419371">
        <v>1</v>
      </c>
      <c r="J419371" s="7">
        <v>11.08</v>
      </c>
      <c r="K419371" s="11">
        <v>2026</v>
      </c>
      <c r="L419371" t="s">
        <v>25</v>
      </c>
      <c r="M419371" t="s">
        <v>17</v>
      </c>
    </row>
    <row r="419372" spans="1:13" x14ac:dyDescent="0.25">
      <c r="A419372" s="6">
        <v>46149</v>
      </c>
      <c r="B419372" s="11">
        <v>5</v>
      </c>
      <c r="C419372" s="11">
        <v>19</v>
      </c>
      <c r="D419372" s="5" t="s">
        <v>13</v>
      </c>
      <c r="E419372" s="11" t="s">
        <v>14</v>
      </c>
      <c r="F419372" s="9" t="s">
        <v>22</v>
      </c>
      <c r="G419372">
        <v>1</v>
      </c>
      <c r="J419372" s="7">
        <v>1</v>
      </c>
      <c r="K419372" s="11">
        <v>2026</v>
      </c>
      <c r="L419372" t="s">
        <v>25</v>
      </c>
      <c r="M419372" t="s">
        <v>17</v>
      </c>
    </row>
    <row r="419373" spans="1:13" x14ac:dyDescent="0.25">
      <c r="A419373" s="6">
        <v>46151.792361111111</v>
      </c>
      <c r="B419373" s="11">
        <f t="shared" ref="B419373:B419375" si="139">MONTH(A419373)</f>
        <v>5</v>
      </c>
      <c r="C419373" s="11">
        <f t="shared" ref="C419373:C419375" si="140">WEEKNUM(A419373)</f>
        <v>19</v>
      </c>
      <c r="D419373" s="5" t="s">
        <v>13</v>
      </c>
      <c r="E419373" s="11" t="s">
        <v>14</v>
      </c>
      <c r="F419373" s="9" t="s">
        <v>15</v>
      </c>
      <c r="G419373">
        <v>1</v>
      </c>
      <c r="J419373" s="7">
        <v>5.9889999999999999</v>
      </c>
      <c r="K419373" s="11">
        <v>2026</v>
      </c>
      <c r="L419373" t="s">
        <v>25</v>
      </c>
      <c r="M419373" t="s">
        <v>17</v>
      </c>
    </row>
    <row r="419374" spans="1:13" x14ac:dyDescent="0.25">
      <c r="A419374" s="6">
        <v>46148</v>
      </c>
      <c r="B419374" s="11">
        <f t="shared" si="139"/>
        <v>5</v>
      </c>
      <c r="C419374" s="11">
        <f t="shared" si="140"/>
        <v>19</v>
      </c>
      <c r="D419374" s="5" t="s">
        <v>13</v>
      </c>
      <c r="E419374" s="11" t="s">
        <v>14</v>
      </c>
      <c r="F419374" s="9" t="s">
        <v>15</v>
      </c>
      <c r="G419374">
        <v>1</v>
      </c>
      <c r="J419374" s="7">
        <v>7.4589999999999996</v>
      </c>
      <c r="K419374" s="11">
        <v>2026</v>
      </c>
      <c r="L419374" t="s">
        <v>25</v>
      </c>
      <c r="M419374" t="s">
        <v>17</v>
      </c>
    </row>
    <row r="419375" spans="1:13" x14ac:dyDescent="0.25">
      <c r="A419375" s="6">
        <v>46148</v>
      </c>
      <c r="B419375" s="11">
        <f t="shared" si="139"/>
        <v>5</v>
      </c>
      <c r="C419375" s="11">
        <f t="shared" si="140"/>
        <v>19</v>
      </c>
      <c r="D419375" s="5" t="s">
        <v>13</v>
      </c>
      <c r="E419375" s="11" t="s">
        <v>14</v>
      </c>
      <c r="F419375" s="9" t="s">
        <v>15</v>
      </c>
      <c r="G419375">
        <v>1</v>
      </c>
      <c r="J419375" s="7">
        <v>1.327</v>
      </c>
      <c r="K419375" s="11">
        <v>2026</v>
      </c>
      <c r="L419375" t="s">
        <v>25</v>
      </c>
      <c r="M419375" t="s">
        <v>17</v>
      </c>
    </row>
    <row r="419376" spans="1:13" x14ac:dyDescent="0.25">
      <c r="A419376" s="6">
        <v>46148</v>
      </c>
      <c r="B419376" s="11">
        <v>5</v>
      </c>
      <c r="C419376" s="11">
        <v>19</v>
      </c>
      <c r="D419376" s="5" t="s">
        <v>18</v>
      </c>
      <c r="E419376" s="11" t="s">
        <v>14</v>
      </c>
      <c r="F419376" s="9" t="s">
        <v>22</v>
      </c>
      <c r="G419376">
        <v>1</v>
      </c>
      <c r="J419376" s="7">
        <v>2.4540000000000002</v>
      </c>
      <c r="K419376" s="11">
        <v>2026</v>
      </c>
      <c r="L419376" t="s">
        <v>25</v>
      </c>
      <c r="M419376" t="s">
        <v>17</v>
      </c>
    </row>
    <row r="419377" spans="1:13" x14ac:dyDescent="0.25">
      <c r="A419377" s="6">
        <v>46148</v>
      </c>
      <c r="B419377" s="11">
        <v>5</v>
      </c>
      <c r="C419377" s="11">
        <v>19</v>
      </c>
      <c r="D419377" s="5" t="s">
        <v>18</v>
      </c>
      <c r="E419377" s="11" t="s">
        <v>14</v>
      </c>
      <c r="F419377" s="9" t="s">
        <v>22</v>
      </c>
      <c r="G419377">
        <v>1</v>
      </c>
      <c r="J419377" s="7">
        <v>7.11</v>
      </c>
      <c r="K419377" s="11">
        <v>2026</v>
      </c>
      <c r="L419377" t="s">
        <v>25</v>
      </c>
      <c r="M419377" t="s">
        <v>17</v>
      </c>
    </row>
    <row r="419378" spans="1:13" x14ac:dyDescent="0.25">
      <c r="A419378" s="6">
        <v>46148</v>
      </c>
      <c r="B419378" s="11">
        <v>5</v>
      </c>
      <c r="C419378" s="11">
        <v>19</v>
      </c>
      <c r="D419378" s="5" t="s">
        <v>18</v>
      </c>
      <c r="E419378" s="11" t="s">
        <v>14</v>
      </c>
      <c r="F419378" s="9" t="s">
        <v>22</v>
      </c>
      <c r="G419378">
        <v>1</v>
      </c>
      <c r="J419378" s="7">
        <v>6.1669999999999998</v>
      </c>
      <c r="K419378" s="11">
        <v>2026</v>
      </c>
      <c r="L419378" t="s">
        <v>25</v>
      </c>
      <c r="M419378" t="s">
        <v>17</v>
      </c>
    </row>
    <row r="419379" spans="1:13" x14ac:dyDescent="0.25">
      <c r="A419379" s="6">
        <v>46150</v>
      </c>
      <c r="B419379" s="11">
        <v>5</v>
      </c>
      <c r="C419379" s="11">
        <v>19</v>
      </c>
      <c r="D419379" s="5" t="s">
        <v>18</v>
      </c>
      <c r="E419379" s="11" t="s">
        <v>14</v>
      </c>
      <c r="F419379" s="9" t="s">
        <v>22</v>
      </c>
      <c r="G419379">
        <v>1</v>
      </c>
      <c r="J419379" s="7">
        <v>2.7839999999999998</v>
      </c>
      <c r="K419379" s="11">
        <v>2026</v>
      </c>
      <c r="L419379" t="s">
        <v>25</v>
      </c>
      <c r="M419379" t="s">
        <v>17</v>
      </c>
    </row>
    <row r="419380" spans="1:13" x14ac:dyDescent="0.25">
      <c r="A419380" s="6">
        <v>46146</v>
      </c>
      <c r="B419380" s="11">
        <v>5</v>
      </c>
      <c r="C419380" s="11">
        <v>19</v>
      </c>
      <c r="D419380" s="5" t="s">
        <v>13</v>
      </c>
      <c r="E419380" s="11" t="s">
        <v>14</v>
      </c>
      <c r="F419380" s="9" t="s">
        <v>22</v>
      </c>
      <c r="G419380">
        <v>1</v>
      </c>
      <c r="J419380" s="7">
        <v>0.96</v>
      </c>
      <c r="K419380" s="11">
        <v>2026</v>
      </c>
      <c r="L419380" t="s">
        <v>25</v>
      </c>
      <c r="M419380" t="s">
        <v>17</v>
      </c>
    </row>
    <row r="419381" spans="1:13" x14ac:dyDescent="0.25">
      <c r="A419381" s="6">
        <v>46147.541666666664</v>
      </c>
      <c r="B419381" s="11">
        <f t="shared" ref="B419381:B419383" si="141">MONTH(A419381)</f>
        <v>5</v>
      </c>
      <c r="C419381" s="11">
        <f t="shared" ref="C419381:C419383" si="142">WEEKNUM(A419381)</f>
        <v>19</v>
      </c>
      <c r="D419381" s="5" t="s">
        <v>18</v>
      </c>
      <c r="E419381" s="11" t="s">
        <v>14</v>
      </c>
      <c r="F419381" s="9" t="s">
        <v>15</v>
      </c>
      <c r="G419381">
        <v>1</v>
      </c>
      <c r="J419381" s="7">
        <v>3.64</v>
      </c>
      <c r="K419381" s="11">
        <v>2026</v>
      </c>
      <c r="L419381" t="s">
        <v>25</v>
      </c>
      <c r="M419381" t="s">
        <v>17</v>
      </c>
    </row>
    <row r="419382" spans="1:13" x14ac:dyDescent="0.25">
      <c r="A419382" s="6">
        <v>46147.541666666664</v>
      </c>
      <c r="B419382" s="11">
        <f t="shared" si="141"/>
        <v>5</v>
      </c>
      <c r="C419382" s="11">
        <f t="shared" si="142"/>
        <v>19</v>
      </c>
      <c r="D419382" s="5" t="s">
        <v>18</v>
      </c>
      <c r="E419382" s="11" t="s">
        <v>14</v>
      </c>
      <c r="F419382" s="9" t="s">
        <v>15</v>
      </c>
      <c r="G419382">
        <v>1</v>
      </c>
      <c r="J419382" s="7">
        <v>3.456</v>
      </c>
      <c r="K419382" s="11">
        <v>2026</v>
      </c>
      <c r="L419382" t="s">
        <v>25</v>
      </c>
      <c r="M419382" t="s">
        <v>17</v>
      </c>
    </row>
    <row r="419383" spans="1:13" x14ac:dyDescent="0.25">
      <c r="A419383" s="6">
        <v>46147.541666666664</v>
      </c>
      <c r="B419383" s="11">
        <f t="shared" si="141"/>
        <v>5</v>
      </c>
      <c r="C419383" s="11">
        <f t="shared" si="142"/>
        <v>19</v>
      </c>
      <c r="D419383" s="5" t="s">
        <v>18</v>
      </c>
      <c r="E419383" s="11" t="s">
        <v>14</v>
      </c>
      <c r="F419383" s="9" t="s">
        <v>15</v>
      </c>
      <c r="G419383">
        <v>1</v>
      </c>
      <c r="J419383" s="7">
        <v>1.718</v>
      </c>
      <c r="K419383" s="11">
        <v>2026</v>
      </c>
      <c r="L419383" t="s">
        <v>25</v>
      </c>
      <c r="M419383" t="s">
        <v>17</v>
      </c>
    </row>
    <row r="419384" spans="1:13" x14ac:dyDescent="0.25">
      <c r="A419384" s="6">
        <v>46149</v>
      </c>
      <c r="B419384" s="11">
        <v>5</v>
      </c>
      <c r="C419384" s="11">
        <v>19</v>
      </c>
      <c r="D419384" s="5" t="s">
        <v>19</v>
      </c>
      <c r="E419384" s="11" t="s">
        <v>14</v>
      </c>
      <c r="F419384" s="9" t="s">
        <v>22</v>
      </c>
      <c r="G419384">
        <v>1</v>
      </c>
      <c r="J419384" s="7">
        <v>1.59</v>
      </c>
      <c r="K419384" s="11">
        <v>2026</v>
      </c>
      <c r="L419384" t="s">
        <v>25</v>
      </c>
      <c r="M419384" t="s">
        <v>17</v>
      </c>
    </row>
    <row r="419385" spans="1:13" x14ac:dyDescent="0.25">
      <c r="A419385" s="6">
        <v>46145</v>
      </c>
      <c r="B419385" s="11">
        <v>5</v>
      </c>
      <c r="C419385" s="11">
        <v>19</v>
      </c>
      <c r="D419385" s="5" t="s">
        <v>18</v>
      </c>
      <c r="E419385" s="11" t="s">
        <v>14</v>
      </c>
      <c r="F419385" s="9" t="s">
        <v>22</v>
      </c>
      <c r="G419385">
        <v>1</v>
      </c>
      <c r="J419385" s="7">
        <v>2.4E-2</v>
      </c>
      <c r="K419385" s="11">
        <v>2026</v>
      </c>
      <c r="L419385" t="s">
        <v>25</v>
      </c>
      <c r="M419385" t="s">
        <v>17</v>
      </c>
    </row>
    <row r="419386" spans="1:13" x14ac:dyDescent="0.25">
      <c r="A419386" s="6">
        <v>46145</v>
      </c>
      <c r="B419386" s="11">
        <v>5</v>
      </c>
      <c r="C419386" s="11">
        <v>19</v>
      </c>
      <c r="D419386" s="5" t="s">
        <v>18</v>
      </c>
      <c r="E419386" s="11" t="s">
        <v>14</v>
      </c>
      <c r="F419386" s="9" t="s">
        <v>22</v>
      </c>
      <c r="G419386">
        <v>1</v>
      </c>
      <c r="J419386" s="7">
        <v>2.024</v>
      </c>
      <c r="K419386" s="11">
        <v>2026</v>
      </c>
      <c r="L419386" t="s">
        <v>25</v>
      </c>
      <c r="M419386" t="s">
        <v>17</v>
      </c>
    </row>
    <row r="419387" spans="1:13" x14ac:dyDescent="0.25">
      <c r="A419387" s="6">
        <v>46145</v>
      </c>
      <c r="B419387" s="11">
        <v>5</v>
      </c>
      <c r="C419387" s="11">
        <v>19</v>
      </c>
      <c r="D419387" s="5" t="s">
        <v>18</v>
      </c>
      <c r="E419387" s="11" t="s">
        <v>14</v>
      </c>
      <c r="F419387" s="9" t="s">
        <v>22</v>
      </c>
      <c r="G419387">
        <v>1</v>
      </c>
      <c r="J419387" s="7">
        <v>4.0000000000000001E-3</v>
      </c>
      <c r="K419387" s="11">
        <v>2026</v>
      </c>
      <c r="L419387" t="s">
        <v>25</v>
      </c>
      <c r="M419387" t="s">
        <v>17</v>
      </c>
    </row>
    <row r="419388" spans="1:13" x14ac:dyDescent="0.25">
      <c r="A419388" s="6">
        <v>46145</v>
      </c>
      <c r="B419388" s="11">
        <v>5</v>
      </c>
      <c r="C419388" s="11">
        <v>19</v>
      </c>
      <c r="D419388" s="5" t="s">
        <v>18</v>
      </c>
      <c r="E419388" s="11" t="s">
        <v>14</v>
      </c>
      <c r="F419388" s="9" t="s">
        <v>22</v>
      </c>
      <c r="G419388">
        <v>1</v>
      </c>
      <c r="J419388" s="7">
        <v>4.0000000000000001E-3</v>
      </c>
      <c r="K419388" s="11">
        <v>2026</v>
      </c>
      <c r="L419388" t="s">
        <v>25</v>
      </c>
      <c r="M419388" t="s">
        <v>17</v>
      </c>
    </row>
    <row r="419389" spans="1:13" x14ac:dyDescent="0.25">
      <c r="A419389" s="6">
        <v>46145</v>
      </c>
      <c r="B419389" s="11">
        <v>5</v>
      </c>
      <c r="C419389" s="11">
        <v>19</v>
      </c>
      <c r="D419389" s="5" t="s">
        <v>18</v>
      </c>
      <c r="E419389" s="11" t="s">
        <v>14</v>
      </c>
      <c r="F419389" s="9" t="s">
        <v>22</v>
      </c>
      <c r="G419389">
        <v>1</v>
      </c>
      <c r="J419389" s="7">
        <v>0.56799999999999995</v>
      </c>
      <c r="K419389" s="11">
        <v>2026</v>
      </c>
      <c r="L419389" t="s">
        <v>25</v>
      </c>
      <c r="M419389" t="s">
        <v>17</v>
      </c>
    </row>
    <row r="419390" spans="1:13" x14ac:dyDescent="0.25">
      <c r="A419390" s="6">
        <v>46145</v>
      </c>
      <c r="B419390" s="11">
        <v>5</v>
      </c>
      <c r="C419390" s="11">
        <v>19</v>
      </c>
      <c r="D419390" s="5" t="s">
        <v>18</v>
      </c>
      <c r="E419390" s="11" t="s">
        <v>14</v>
      </c>
      <c r="F419390" s="9" t="s">
        <v>22</v>
      </c>
      <c r="G419390">
        <v>1</v>
      </c>
      <c r="J419390" s="7">
        <v>5.0000000000000001E-3</v>
      </c>
      <c r="K419390" s="11">
        <v>2026</v>
      </c>
      <c r="L419390" t="s">
        <v>25</v>
      </c>
      <c r="M419390" t="s">
        <v>17</v>
      </c>
    </row>
    <row r="419391" spans="1:13" x14ac:dyDescent="0.25">
      <c r="A419391" s="6">
        <v>46150</v>
      </c>
      <c r="B419391" s="11">
        <v>5</v>
      </c>
      <c r="C419391" s="11">
        <v>19</v>
      </c>
      <c r="D419391" s="5" t="s">
        <v>13</v>
      </c>
      <c r="E419391" s="11" t="s">
        <v>14</v>
      </c>
      <c r="F419391" s="9" t="s">
        <v>22</v>
      </c>
      <c r="G419391">
        <v>1</v>
      </c>
      <c r="J419391" s="7">
        <v>1.0660000000000001</v>
      </c>
      <c r="K419391" s="11">
        <v>2026</v>
      </c>
      <c r="L419391" t="s">
        <v>25</v>
      </c>
      <c r="M419391" t="s">
        <v>17</v>
      </c>
    </row>
    <row r="419392" spans="1:13" x14ac:dyDescent="0.25">
      <c r="A419392" s="6">
        <v>46150</v>
      </c>
      <c r="B419392" s="11">
        <v>5</v>
      </c>
      <c r="C419392" s="11">
        <v>19</v>
      </c>
      <c r="D419392" s="5" t="s">
        <v>13</v>
      </c>
      <c r="E419392" s="11" t="s">
        <v>14</v>
      </c>
      <c r="F419392" s="9" t="s">
        <v>22</v>
      </c>
      <c r="G419392">
        <v>1</v>
      </c>
      <c r="J419392" s="7">
        <v>1.1040000000000001</v>
      </c>
      <c r="K419392" s="11">
        <v>2026</v>
      </c>
      <c r="L419392" t="s">
        <v>25</v>
      </c>
      <c r="M419392" t="s">
        <v>17</v>
      </c>
    </row>
    <row r="419393" spans="1:13" x14ac:dyDescent="0.25">
      <c r="A419393" s="6">
        <v>46145</v>
      </c>
      <c r="B419393" s="11">
        <v>5</v>
      </c>
      <c r="C419393" s="11">
        <v>19</v>
      </c>
      <c r="D419393" s="5" t="s">
        <v>18</v>
      </c>
      <c r="E419393" s="11" t="s">
        <v>14</v>
      </c>
      <c r="F419393" s="9" t="s">
        <v>22</v>
      </c>
      <c r="G419393">
        <v>1</v>
      </c>
      <c r="J419393" s="7">
        <v>2.7669999999999999</v>
      </c>
      <c r="K419393" s="11">
        <v>2026</v>
      </c>
      <c r="L419393" t="s">
        <v>25</v>
      </c>
      <c r="M419393" t="s">
        <v>17</v>
      </c>
    </row>
    <row r="419394" spans="1:13" x14ac:dyDescent="0.25">
      <c r="A419394" s="6">
        <v>46148</v>
      </c>
      <c r="B419394" s="11">
        <f t="shared" ref="B419394:B419398" si="143">MONTH(A419394)</f>
        <v>5</v>
      </c>
      <c r="C419394" s="11">
        <f t="shared" ref="C419394:C419398" si="144">WEEKNUM(A419394)</f>
        <v>19</v>
      </c>
      <c r="D419394" s="5" t="s">
        <v>21</v>
      </c>
      <c r="E419394" s="11" t="s">
        <v>14</v>
      </c>
      <c r="F419394" s="9" t="s">
        <v>15</v>
      </c>
      <c r="G419394">
        <v>1</v>
      </c>
      <c r="J419394" s="7">
        <v>0.55400000000000005</v>
      </c>
      <c r="K419394" s="11">
        <v>2026</v>
      </c>
      <c r="L419394" t="s">
        <v>25</v>
      </c>
      <c r="M419394" t="s">
        <v>17</v>
      </c>
    </row>
    <row r="419395" spans="1:13" x14ac:dyDescent="0.25">
      <c r="A419395" s="6">
        <v>46148</v>
      </c>
      <c r="B419395" s="11">
        <f t="shared" si="143"/>
        <v>5</v>
      </c>
      <c r="C419395" s="11">
        <f t="shared" si="144"/>
        <v>19</v>
      </c>
      <c r="D419395" s="5" t="s">
        <v>21</v>
      </c>
      <c r="E419395" s="11" t="s">
        <v>14</v>
      </c>
      <c r="F419395" s="9" t="s">
        <v>15</v>
      </c>
      <c r="G419395">
        <v>1</v>
      </c>
      <c r="J419395" s="7">
        <v>0.98399999999999999</v>
      </c>
      <c r="K419395" s="11">
        <v>2026</v>
      </c>
      <c r="L419395" t="s">
        <v>25</v>
      </c>
      <c r="M419395" t="s">
        <v>17</v>
      </c>
    </row>
    <row r="419396" spans="1:13" x14ac:dyDescent="0.25">
      <c r="A419396" s="6">
        <v>46148</v>
      </c>
      <c r="B419396" s="11">
        <f t="shared" si="143"/>
        <v>5</v>
      </c>
      <c r="C419396" s="11">
        <f t="shared" si="144"/>
        <v>19</v>
      </c>
      <c r="D419396" s="5" t="s">
        <v>13</v>
      </c>
      <c r="E419396" s="11" t="s">
        <v>14</v>
      </c>
      <c r="F419396" s="9" t="s">
        <v>15</v>
      </c>
      <c r="G419396">
        <v>1</v>
      </c>
      <c r="J419396" s="7">
        <v>6.7050000000000001</v>
      </c>
      <c r="K419396" s="11">
        <v>2026</v>
      </c>
      <c r="L419396" t="s">
        <v>25</v>
      </c>
      <c r="M419396" t="s">
        <v>17</v>
      </c>
    </row>
    <row r="419397" spans="1:13" x14ac:dyDescent="0.25">
      <c r="A419397" s="6">
        <v>46148.125</v>
      </c>
      <c r="B419397" s="11">
        <f t="shared" si="143"/>
        <v>5</v>
      </c>
      <c r="C419397" s="11">
        <f t="shared" si="144"/>
        <v>19</v>
      </c>
      <c r="D419397" s="5" t="s">
        <v>13</v>
      </c>
      <c r="E419397" s="11" t="s">
        <v>14</v>
      </c>
      <c r="F419397" s="9" t="s">
        <v>15</v>
      </c>
      <c r="G419397">
        <v>1</v>
      </c>
      <c r="J419397" s="7">
        <v>6.4379999999999997</v>
      </c>
      <c r="K419397" s="11">
        <v>2026</v>
      </c>
      <c r="L419397" t="s">
        <v>25</v>
      </c>
      <c r="M419397" t="s">
        <v>17</v>
      </c>
    </row>
    <row r="419398" spans="1:13" x14ac:dyDescent="0.25">
      <c r="A419398" s="6">
        <v>46148.125</v>
      </c>
      <c r="B419398" s="11">
        <f t="shared" si="143"/>
        <v>5</v>
      </c>
      <c r="C419398" s="11">
        <f t="shared" si="144"/>
        <v>19</v>
      </c>
      <c r="D419398" s="5" t="s">
        <v>13</v>
      </c>
      <c r="E419398" s="11" t="s">
        <v>14</v>
      </c>
      <c r="F419398" s="9" t="s">
        <v>15</v>
      </c>
      <c r="G419398">
        <v>1</v>
      </c>
      <c r="J419398" s="7">
        <v>1.323</v>
      </c>
      <c r="K419398" s="11">
        <v>2026</v>
      </c>
      <c r="L419398" t="s">
        <v>25</v>
      </c>
      <c r="M419398" t="s">
        <v>17</v>
      </c>
    </row>
    <row r="419399" spans="1:13" x14ac:dyDescent="0.25">
      <c r="A419399" s="6">
        <v>46147</v>
      </c>
      <c r="B419399" s="11">
        <v>5</v>
      </c>
      <c r="C419399" s="11">
        <v>19</v>
      </c>
      <c r="D419399" s="5" t="s">
        <v>21</v>
      </c>
      <c r="E419399" s="11" t="s">
        <v>14</v>
      </c>
      <c r="F419399" s="9" t="s">
        <v>22</v>
      </c>
      <c r="G419399">
        <v>1</v>
      </c>
      <c r="J419399" s="7">
        <v>20.082999999999998</v>
      </c>
      <c r="K419399" s="11">
        <v>2026</v>
      </c>
      <c r="L419399" t="s">
        <v>25</v>
      </c>
      <c r="M419399" t="s">
        <v>17</v>
      </c>
    </row>
    <row r="419400" spans="1:13" x14ac:dyDescent="0.25">
      <c r="A419400" s="6">
        <v>46148.125</v>
      </c>
      <c r="B419400" s="11">
        <f t="shared" ref="B419400:B419405" si="145">MONTH(A419400)</f>
        <v>5</v>
      </c>
      <c r="C419400" s="11">
        <f t="shared" ref="C419400:C419405" si="146">WEEKNUM(A419400)</f>
        <v>19</v>
      </c>
      <c r="D419400" s="5" t="s">
        <v>13</v>
      </c>
      <c r="E419400" s="11" t="s">
        <v>14</v>
      </c>
      <c r="F419400" s="9" t="s">
        <v>15</v>
      </c>
      <c r="G419400">
        <v>1</v>
      </c>
      <c r="J419400" s="7">
        <v>6.9779999999999998</v>
      </c>
      <c r="K419400" s="11">
        <v>2026</v>
      </c>
      <c r="L419400" t="s">
        <v>25</v>
      </c>
      <c r="M419400" t="s">
        <v>17</v>
      </c>
    </row>
    <row r="419401" spans="1:13" x14ac:dyDescent="0.25">
      <c r="A419401" s="6">
        <v>46148</v>
      </c>
      <c r="B419401" s="11">
        <f t="shared" si="145"/>
        <v>5</v>
      </c>
      <c r="C419401" s="11">
        <f t="shared" si="146"/>
        <v>19</v>
      </c>
      <c r="D419401" s="5" t="s">
        <v>13</v>
      </c>
      <c r="E419401" s="11" t="s">
        <v>14</v>
      </c>
      <c r="F419401" s="9" t="s">
        <v>15</v>
      </c>
      <c r="G419401">
        <v>1</v>
      </c>
      <c r="J419401" s="7">
        <v>5.0579999999999998</v>
      </c>
      <c r="K419401" s="11">
        <v>2026</v>
      </c>
      <c r="L419401" t="s">
        <v>25</v>
      </c>
      <c r="M419401" t="s">
        <v>17</v>
      </c>
    </row>
    <row r="419402" spans="1:13" x14ac:dyDescent="0.25">
      <c r="A419402" s="6">
        <v>46151.792361111111</v>
      </c>
      <c r="B419402" s="11">
        <f t="shared" si="145"/>
        <v>5</v>
      </c>
      <c r="C419402" s="11">
        <f t="shared" si="146"/>
        <v>19</v>
      </c>
      <c r="D419402" s="5" t="s">
        <v>13</v>
      </c>
      <c r="E419402" s="11" t="s">
        <v>14</v>
      </c>
      <c r="F419402" s="9" t="s">
        <v>15</v>
      </c>
      <c r="G419402">
        <v>1</v>
      </c>
      <c r="J419402" s="7">
        <v>6.1920000000000002</v>
      </c>
      <c r="K419402" s="11">
        <v>2026</v>
      </c>
      <c r="L419402" t="s">
        <v>25</v>
      </c>
      <c r="M419402" t="s">
        <v>17</v>
      </c>
    </row>
    <row r="419403" spans="1:13" x14ac:dyDescent="0.25">
      <c r="A419403" s="6">
        <v>46151.792361111111</v>
      </c>
      <c r="B419403" s="11">
        <f t="shared" si="145"/>
        <v>5</v>
      </c>
      <c r="C419403" s="11">
        <f t="shared" si="146"/>
        <v>19</v>
      </c>
      <c r="D419403" s="5" t="s">
        <v>13</v>
      </c>
      <c r="E419403" s="11" t="s">
        <v>14</v>
      </c>
      <c r="F419403" s="9" t="s">
        <v>15</v>
      </c>
      <c r="G419403">
        <v>1</v>
      </c>
      <c r="J419403" s="7">
        <v>1.133</v>
      </c>
      <c r="K419403" s="11">
        <v>2026</v>
      </c>
      <c r="L419403" t="s">
        <v>25</v>
      </c>
      <c r="M419403" t="s">
        <v>17</v>
      </c>
    </row>
    <row r="419404" spans="1:13" x14ac:dyDescent="0.25">
      <c r="A419404" s="6">
        <v>46148.125</v>
      </c>
      <c r="B419404" s="11">
        <f t="shared" si="145"/>
        <v>5</v>
      </c>
      <c r="C419404" s="11">
        <f t="shared" si="146"/>
        <v>19</v>
      </c>
      <c r="D419404" s="5" t="s">
        <v>13</v>
      </c>
      <c r="E419404" s="11" t="s">
        <v>14</v>
      </c>
      <c r="F419404" s="9" t="s">
        <v>15</v>
      </c>
      <c r="G419404">
        <v>1</v>
      </c>
      <c r="J419404" s="7">
        <v>7.9859999999999998</v>
      </c>
      <c r="K419404" s="11">
        <v>2026</v>
      </c>
      <c r="L419404" t="s">
        <v>25</v>
      </c>
      <c r="M419404" t="s">
        <v>17</v>
      </c>
    </row>
    <row r="419405" spans="1:13" x14ac:dyDescent="0.25">
      <c r="A419405" s="6">
        <v>46148.125</v>
      </c>
      <c r="B419405" s="11">
        <f t="shared" si="145"/>
        <v>5</v>
      </c>
      <c r="C419405" s="11">
        <f t="shared" si="146"/>
        <v>19</v>
      </c>
      <c r="D419405" s="5" t="s">
        <v>13</v>
      </c>
      <c r="E419405" s="11" t="s">
        <v>14</v>
      </c>
      <c r="F419405" s="9" t="s">
        <v>15</v>
      </c>
      <c r="G419405">
        <v>1</v>
      </c>
      <c r="J419405" s="7">
        <v>5.8129999999999997</v>
      </c>
      <c r="K419405" s="11">
        <v>2026</v>
      </c>
      <c r="L419405" t="s">
        <v>25</v>
      </c>
      <c r="M419405" t="s">
        <v>17</v>
      </c>
    </row>
    <row r="419406" spans="1:13" x14ac:dyDescent="0.25">
      <c r="A419406" s="6">
        <v>46147</v>
      </c>
      <c r="B419406" s="11">
        <v>5</v>
      </c>
      <c r="C419406" s="11">
        <v>19</v>
      </c>
      <c r="D419406" s="5" t="s">
        <v>13</v>
      </c>
      <c r="E419406" s="11" t="s">
        <v>14</v>
      </c>
      <c r="F419406" s="9" t="s">
        <v>22</v>
      </c>
      <c r="G419406">
        <v>1</v>
      </c>
      <c r="J419406" s="7">
        <v>9.8369999999999997</v>
      </c>
      <c r="K419406" s="11">
        <v>2026</v>
      </c>
      <c r="L419406" t="s">
        <v>25</v>
      </c>
      <c r="M419406" t="s">
        <v>17</v>
      </c>
    </row>
    <row r="419407" spans="1:13" x14ac:dyDescent="0.25">
      <c r="A419407" s="6">
        <v>46146</v>
      </c>
      <c r="B419407" s="11">
        <v>5</v>
      </c>
      <c r="C419407" s="11">
        <v>19</v>
      </c>
      <c r="D419407" s="5" t="s">
        <v>13</v>
      </c>
      <c r="E419407" s="11" t="s">
        <v>14</v>
      </c>
      <c r="F419407" s="9" t="s">
        <v>22</v>
      </c>
      <c r="G419407">
        <v>1</v>
      </c>
      <c r="J419407" s="7">
        <v>3.3</v>
      </c>
      <c r="K419407" s="11">
        <v>2026</v>
      </c>
      <c r="L419407" t="s">
        <v>25</v>
      </c>
      <c r="M419407" t="s">
        <v>17</v>
      </c>
    </row>
    <row r="419408" spans="1:13" x14ac:dyDescent="0.25">
      <c r="A419408" s="6">
        <v>46150</v>
      </c>
      <c r="B419408" s="11">
        <v>5</v>
      </c>
      <c r="C419408" s="11">
        <v>19</v>
      </c>
      <c r="D419408" s="5" t="s">
        <v>13</v>
      </c>
      <c r="E419408" s="11" t="s">
        <v>14</v>
      </c>
      <c r="F419408" s="9" t="s">
        <v>22</v>
      </c>
      <c r="G419408">
        <v>1</v>
      </c>
      <c r="J419408" s="7">
        <v>2.15</v>
      </c>
      <c r="K419408" s="11">
        <v>2026</v>
      </c>
      <c r="L419408" t="s">
        <v>25</v>
      </c>
      <c r="M419408" t="s">
        <v>17</v>
      </c>
    </row>
    <row r="419409" spans="1:13" x14ac:dyDescent="0.25">
      <c r="A419409" s="6">
        <v>46146</v>
      </c>
      <c r="B419409" s="11">
        <v>5</v>
      </c>
      <c r="C419409" s="11">
        <v>19</v>
      </c>
      <c r="D419409" s="5" t="s">
        <v>13</v>
      </c>
      <c r="E419409" s="11" t="s">
        <v>14</v>
      </c>
      <c r="F419409" s="9" t="s">
        <v>22</v>
      </c>
      <c r="G419409">
        <v>1</v>
      </c>
      <c r="J419409" s="7">
        <v>0.66700000000000004</v>
      </c>
      <c r="K419409" s="11">
        <v>2026</v>
      </c>
      <c r="L419409" t="s">
        <v>25</v>
      </c>
      <c r="M419409" t="s">
        <v>17</v>
      </c>
    </row>
    <row r="419410" spans="1:13" x14ac:dyDescent="0.25">
      <c r="A419410" s="6">
        <v>46146.916666666664</v>
      </c>
      <c r="B419410" s="11">
        <v>5</v>
      </c>
      <c r="C419410" s="11">
        <v>19</v>
      </c>
      <c r="D419410" s="5" t="s">
        <v>18</v>
      </c>
      <c r="E419410" s="11" t="s">
        <v>14</v>
      </c>
      <c r="F419410" s="9" t="s">
        <v>22</v>
      </c>
      <c r="G419410">
        <v>1</v>
      </c>
      <c r="J419410" s="7">
        <v>0.85199999999999998</v>
      </c>
      <c r="K419410" s="11">
        <v>2026</v>
      </c>
      <c r="L419410" t="s">
        <v>25</v>
      </c>
      <c r="M419410" t="s">
        <v>17</v>
      </c>
    </row>
    <row r="419411" spans="1:13" x14ac:dyDescent="0.25">
      <c r="A419411" s="6">
        <v>46147</v>
      </c>
      <c r="B419411" s="11">
        <v>5</v>
      </c>
      <c r="C419411" s="11">
        <v>19</v>
      </c>
      <c r="D419411" s="5" t="s">
        <v>18</v>
      </c>
      <c r="E419411" s="11" t="s">
        <v>14</v>
      </c>
      <c r="F419411" s="9" t="s">
        <v>22</v>
      </c>
      <c r="G419411">
        <v>1</v>
      </c>
      <c r="J419411" s="7">
        <v>9.3949999999999996</v>
      </c>
      <c r="K419411" s="11">
        <v>2026</v>
      </c>
      <c r="L419411" t="s">
        <v>25</v>
      </c>
      <c r="M419411" t="s">
        <v>17</v>
      </c>
    </row>
    <row r="419412" spans="1:13" x14ac:dyDescent="0.25">
      <c r="A419412" s="6">
        <v>46147</v>
      </c>
      <c r="B419412" s="11">
        <v>5</v>
      </c>
      <c r="C419412" s="11">
        <v>19</v>
      </c>
      <c r="D419412" s="5" t="s">
        <v>18</v>
      </c>
      <c r="E419412" s="11" t="s">
        <v>14</v>
      </c>
      <c r="F419412" s="9" t="s">
        <v>22</v>
      </c>
      <c r="G419412">
        <v>1</v>
      </c>
      <c r="J419412" s="7">
        <v>4.3760000000000003</v>
      </c>
      <c r="K419412" s="11">
        <v>2026</v>
      </c>
      <c r="L419412" t="s">
        <v>25</v>
      </c>
      <c r="M419412" t="s">
        <v>17</v>
      </c>
    </row>
    <row r="419413" spans="1:13" x14ac:dyDescent="0.25">
      <c r="A419413" s="6">
        <v>46147</v>
      </c>
      <c r="B419413" s="11">
        <v>5</v>
      </c>
      <c r="C419413" s="11">
        <v>19</v>
      </c>
      <c r="D419413" s="5" t="s">
        <v>18</v>
      </c>
      <c r="E419413" s="11" t="s">
        <v>14</v>
      </c>
      <c r="F419413" s="9" t="s">
        <v>22</v>
      </c>
      <c r="G419413">
        <v>1</v>
      </c>
      <c r="J419413" s="7">
        <v>13.771000000000001</v>
      </c>
      <c r="K419413" s="11">
        <v>2026</v>
      </c>
      <c r="L419413" t="s">
        <v>25</v>
      </c>
      <c r="M419413" t="s">
        <v>17</v>
      </c>
    </row>
    <row r="419414" spans="1:13" x14ac:dyDescent="0.25">
      <c r="A419414" s="6">
        <v>46151.791666666664</v>
      </c>
      <c r="B419414" s="11">
        <v>5</v>
      </c>
      <c r="C419414" s="11">
        <v>19</v>
      </c>
      <c r="D419414" s="5" t="s">
        <v>13</v>
      </c>
      <c r="E419414" s="11" t="s">
        <v>14</v>
      </c>
      <c r="F419414" s="9" t="s">
        <v>22</v>
      </c>
      <c r="G419414">
        <v>1</v>
      </c>
      <c r="J419414" s="7">
        <v>1.8180000000000001</v>
      </c>
      <c r="K419414" s="11">
        <v>2026</v>
      </c>
      <c r="L419414" t="s">
        <v>25</v>
      </c>
      <c r="M419414" t="s">
        <v>17</v>
      </c>
    </row>
    <row r="419415" spans="1:13" x14ac:dyDescent="0.25">
      <c r="A419415" s="6">
        <v>46148</v>
      </c>
      <c r="B419415" s="11">
        <f t="shared" ref="B419415:B419416" si="147">MONTH(A419415)</f>
        <v>5</v>
      </c>
      <c r="C419415" s="11">
        <f t="shared" ref="C419415:C419416" si="148">WEEKNUM(A419415)</f>
        <v>19</v>
      </c>
      <c r="D419415" s="5" t="s">
        <v>18</v>
      </c>
      <c r="E419415" s="11" t="s">
        <v>14</v>
      </c>
      <c r="F419415" s="9" t="s">
        <v>15</v>
      </c>
      <c r="G419415">
        <v>1</v>
      </c>
      <c r="J419415" s="7">
        <v>1.3939999999999999</v>
      </c>
      <c r="K419415" s="11">
        <v>2026</v>
      </c>
      <c r="L419415" t="s">
        <v>25</v>
      </c>
      <c r="M419415" t="s">
        <v>17</v>
      </c>
    </row>
    <row r="419416" spans="1:13" x14ac:dyDescent="0.25">
      <c r="A419416" s="6">
        <v>46148.1875</v>
      </c>
      <c r="B419416" s="11">
        <f t="shared" si="147"/>
        <v>5</v>
      </c>
      <c r="C419416" s="11">
        <f t="shared" si="148"/>
        <v>19</v>
      </c>
      <c r="D419416" s="5" t="s">
        <v>18</v>
      </c>
      <c r="E419416" s="11" t="s">
        <v>14</v>
      </c>
      <c r="F419416" s="9" t="s">
        <v>15</v>
      </c>
      <c r="G419416">
        <v>1</v>
      </c>
      <c r="J419416" s="7">
        <v>5.28</v>
      </c>
      <c r="K419416" s="11">
        <v>2026</v>
      </c>
      <c r="L419416" t="s">
        <v>25</v>
      </c>
      <c r="M419416" t="s">
        <v>17</v>
      </c>
    </row>
    <row r="419417" spans="1:13" x14ac:dyDescent="0.25">
      <c r="A419417" s="6">
        <v>46147</v>
      </c>
      <c r="B419417" s="11">
        <v>5</v>
      </c>
      <c r="C419417" s="11">
        <v>19</v>
      </c>
      <c r="D419417" s="5" t="s">
        <v>21</v>
      </c>
      <c r="E419417" s="11" t="s">
        <v>14</v>
      </c>
      <c r="F419417" s="9" t="s">
        <v>22</v>
      </c>
      <c r="G419417">
        <v>1</v>
      </c>
      <c r="J419417" s="7">
        <v>13.771000000000001</v>
      </c>
      <c r="K419417" s="11">
        <v>2026</v>
      </c>
      <c r="L419417" t="s">
        <v>25</v>
      </c>
      <c r="M419417" t="s">
        <v>17</v>
      </c>
    </row>
    <row r="419418" spans="1:13" x14ac:dyDescent="0.25">
      <c r="A419418" s="6">
        <v>46146</v>
      </c>
      <c r="B419418" s="11">
        <v>5</v>
      </c>
      <c r="C419418" s="11">
        <v>19</v>
      </c>
      <c r="D419418" s="5" t="s">
        <v>20</v>
      </c>
      <c r="E419418" s="11" t="s">
        <v>14</v>
      </c>
      <c r="F419418" s="9" t="s">
        <v>22</v>
      </c>
      <c r="G419418">
        <v>1</v>
      </c>
      <c r="J419418" s="7">
        <v>0.72199999999999998</v>
      </c>
      <c r="K419418" s="11">
        <v>2026</v>
      </c>
      <c r="L419418" t="s">
        <v>25</v>
      </c>
      <c r="M419418" t="s">
        <v>17</v>
      </c>
    </row>
    <row r="419419" spans="1:13" x14ac:dyDescent="0.25">
      <c r="A419419" s="6">
        <v>46151.791666666664</v>
      </c>
      <c r="B419419" s="11">
        <v>5</v>
      </c>
      <c r="C419419" s="11">
        <v>19</v>
      </c>
      <c r="D419419" s="5" t="s">
        <v>13</v>
      </c>
      <c r="E419419" s="11" t="s">
        <v>14</v>
      </c>
      <c r="F419419" s="9" t="s">
        <v>22</v>
      </c>
      <c r="G419419">
        <v>1</v>
      </c>
      <c r="J419419" s="7">
        <v>1.429</v>
      </c>
      <c r="K419419" s="11">
        <v>2026</v>
      </c>
      <c r="L419419" t="s">
        <v>25</v>
      </c>
      <c r="M419419" t="s">
        <v>17</v>
      </c>
    </row>
    <row r="419420" spans="1:13" x14ac:dyDescent="0.25">
      <c r="A419420" s="6">
        <v>46151.791666666664</v>
      </c>
      <c r="B419420" s="11">
        <f t="shared" ref="B419420:B419422" si="149">MONTH(A419420)</f>
        <v>5</v>
      </c>
      <c r="C419420" s="11">
        <f t="shared" ref="C419420:C419422" si="150">WEEKNUM(A419420)</f>
        <v>19</v>
      </c>
      <c r="D419420" s="5" t="s">
        <v>18</v>
      </c>
      <c r="E419420" s="11" t="s">
        <v>14</v>
      </c>
      <c r="F419420" s="9" t="s">
        <v>15</v>
      </c>
      <c r="G419420">
        <v>1</v>
      </c>
      <c r="J419420" s="7">
        <v>11.231999999999999</v>
      </c>
      <c r="K419420" s="11">
        <v>2026</v>
      </c>
      <c r="L419420" t="s">
        <v>25</v>
      </c>
      <c r="M419420" t="s">
        <v>17</v>
      </c>
    </row>
    <row r="419421" spans="1:13" x14ac:dyDescent="0.25">
      <c r="A419421" s="6">
        <v>46151.791666666664</v>
      </c>
      <c r="B419421" s="11">
        <f t="shared" si="149"/>
        <v>5</v>
      </c>
      <c r="C419421" s="11">
        <f t="shared" si="150"/>
        <v>19</v>
      </c>
      <c r="D419421" s="5" t="s">
        <v>18</v>
      </c>
      <c r="E419421" s="11" t="s">
        <v>14</v>
      </c>
      <c r="F419421" s="9" t="s">
        <v>15</v>
      </c>
      <c r="G419421">
        <v>1</v>
      </c>
      <c r="J419421" s="7">
        <v>17.984999999999999</v>
      </c>
      <c r="K419421" s="11">
        <v>2026</v>
      </c>
      <c r="L419421" t="s">
        <v>25</v>
      </c>
      <c r="M419421" t="s">
        <v>17</v>
      </c>
    </row>
    <row r="419422" spans="1:13" x14ac:dyDescent="0.25">
      <c r="A419422" s="6">
        <v>46151.791666666664</v>
      </c>
      <c r="B419422" s="11">
        <f t="shared" si="149"/>
        <v>5</v>
      </c>
      <c r="C419422" s="11">
        <f t="shared" si="150"/>
        <v>19</v>
      </c>
      <c r="D419422" s="5" t="s">
        <v>18</v>
      </c>
      <c r="E419422" s="11" t="s">
        <v>14</v>
      </c>
      <c r="F419422" s="9" t="s">
        <v>15</v>
      </c>
      <c r="G419422">
        <v>1</v>
      </c>
      <c r="J419422" s="7">
        <v>17.984999999999999</v>
      </c>
      <c r="K419422" s="11">
        <v>2026</v>
      </c>
      <c r="L419422" t="s">
        <v>25</v>
      </c>
      <c r="M419422" t="s">
        <v>17</v>
      </c>
    </row>
    <row r="419423" spans="1:13" x14ac:dyDescent="0.25">
      <c r="A419423" s="6">
        <v>46147</v>
      </c>
      <c r="B419423" s="11">
        <v>5</v>
      </c>
      <c r="C419423" s="11">
        <v>19</v>
      </c>
      <c r="D419423" s="5" t="s">
        <v>20</v>
      </c>
      <c r="E419423" s="11" t="s">
        <v>14</v>
      </c>
      <c r="F419423" s="9" t="s">
        <v>22</v>
      </c>
      <c r="G419423">
        <v>1</v>
      </c>
      <c r="J419423" s="7">
        <v>2.1800000000000002</v>
      </c>
      <c r="K419423" s="11">
        <v>2026</v>
      </c>
      <c r="L419423" t="s">
        <v>25</v>
      </c>
      <c r="M419423" t="s">
        <v>17</v>
      </c>
    </row>
    <row r="419424" spans="1:13" x14ac:dyDescent="0.25">
      <c r="A419424" s="6">
        <v>46147</v>
      </c>
      <c r="B419424" s="11">
        <v>5</v>
      </c>
      <c r="C419424" s="11">
        <v>19</v>
      </c>
      <c r="D419424" s="5" t="s">
        <v>20</v>
      </c>
      <c r="E419424" s="11" t="s">
        <v>14</v>
      </c>
      <c r="F419424" s="9" t="s">
        <v>22</v>
      </c>
      <c r="G419424">
        <v>1</v>
      </c>
      <c r="J419424" s="7">
        <v>2.319</v>
      </c>
      <c r="K419424" s="11">
        <v>2026</v>
      </c>
      <c r="L419424" t="s">
        <v>25</v>
      </c>
      <c r="M419424" t="s">
        <v>17</v>
      </c>
    </row>
    <row r="419425" spans="1:13" x14ac:dyDescent="0.25">
      <c r="A419425" s="6">
        <v>46146.875</v>
      </c>
      <c r="B419425" s="11">
        <v>5</v>
      </c>
      <c r="C419425" s="11">
        <v>19</v>
      </c>
      <c r="D419425" s="5" t="s">
        <v>20</v>
      </c>
      <c r="E419425" s="11" t="s">
        <v>14</v>
      </c>
      <c r="F419425" s="9" t="s">
        <v>22</v>
      </c>
      <c r="G419425">
        <v>1</v>
      </c>
      <c r="J419425" s="7">
        <v>2.8879999999999999</v>
      </c>
      <c r="K419425" s="11">
        <v>2026</v>
      </c>
      <c r="L419425" t="s">
        <v>25</v>
      </c>
      <c r="M419425" t="s">
        <v>17</v>
      </c>
    </row>
    <row r="419426" spans="1:13" x14ac:dyDescent="0.25">
      <c r="A419426" s="6">
        <v>46148</v>
      </c>
      <c r="B419426" s="11">
        <f t="shared" ref="B419426" si="151">MONTH(A419426)</f>
        <v>5</v>
      </c>
      <c r="C419426" s="11">
        <f t="shared" ref="C419426" si="152">WEEKNUM(A419426)</f>
        <v>19</v>
      </c>
      <c r="D419426" s="5" t="s">
        <v>20</v>
      </c>
      <c r="E419426" s="11" t="s">
        <v>14</v>
      </c>
      <c r="F419426" s="9" t="s">
        <v>15</v>
      </c>
      <c r="G419426">
        <v>1</v>
      </c>
      <c r="J419426" s="7">
        <v>4.843</v>
      </c>
      <c r="K419426" s="11">
        <v>2026</v>
      </c>
      <c r="L419426" t="s">
        <v>25</v>
      </c>
      <c r="M419426" t="s">
        <v>17</v>
      </c>
    </row>
    <row r="419427" spans="1:13" x14ac:dyDescent="0.25">
      <c r="A419427" s="6">
        <v>46148.634027777778</v>
      </c>
      <c r="B419427" s="11">
        <v>5</v>
      </c>
      <c r="C419427" s="11">
        <v>19</v>
      </c>
      <c r="D419427" s="5" t="s">
        <v>24</v>
      </c>
      <c r="E419427" s="11" t="s">
        <v>14</v>
      </c>
      <c r="F419427" s="9" t="s">
        <v>22</v>
      </c>
      <c r="G419427">
        <v>1</v>
      </c>
      <c r="J419427" s="7">
        <v>0.39800000000000002</v>
      </c>
      <c r="K419427" s="11">
        <v>2026</v>
      </c>
      <c r="L419427" t="s">
        <v>25</v>
      </c>
      <c r="M419427" t="s">
        <v>17</v>
      </c>
    </row>
    <row r="419428" spans="1:13" x14ac:dyDescent="0.25">
      <c r="A419428" s="6">
        <v>46145</v>
      </c>
      <c r="B419428" s="11">
        <v>5</v>
      </c>
      <c r="C419428" s="11">
        <v>19</v>
      </c>
      <c r="D419428" s="5" t="s">
        <v>18</v>
      </c>
      <c r="E419428" s="11" t="s">
        <v>14</v>
      </c>
      <c r="F419428" s="9" t="s">
        <v>22</v>
      </c>
      <c r="G419428">
        <v>1</v>
      </c>
      <c r="J419428" s="7">
        <v>13.44</v>
      </c>
      <c r="K419428" s="11">
        <v>2026</v>
      </c>
      <c r="L419428" t="s">
        <v>25</v>
      </c>
      <c r="M419428" t="s">
        <v>17</v>
      </c>
    </row>
    <row r="419429" spans="1:13" x14ac:dyDescent="0.25">
      <c r="A419429" s="6">
        <v>46146.791666666664</v>
      </c>
      <c r="B419429" s="11">
        <f t="shared" ref="B419429:B419430" si="153">MONTH(A419429)</f>
        <v>5</v>
      </c>
      <c r="C419429" s="11">
        <f t="shared" ref="C419429:C419430" si="154">WEEKNUM(A419429)</f>
        <v>19</v>
      </c>
      <c r="D419429" s="5" t="s">
        <v>18</v>
      </c>
      <c r="E419429" s="11" t="s">
        <v>14</v>
      </c>
      <c r="F419429" s="9" t="s">
        <v>15</v>
      </c>
      <c r="G419429">
        <v>1</v>
      </c>
      <c r="J419429" s="7">
        <v>6.6109999999999998</v>
      </c>
      <c r="K419429" s="11">
        <v>2026</v>
      </c>
      <c r="L419429" t="s">
        <v>25</v>
      </c>
      <c r="M419429" t="s">
        <v>17</v>
      </c>
    </row>
    <row r="419430" spans="1:13" x14ac:dyDescent="0.25">
      <c r="A419430" s="6">
        <v>46146.791666666664</v>
      </c>
      <c r="B419430" s="11">
        <f t="shared" si="153"/>
        <v>5</v>
      </c>
      <c r="C419430" s="11">
        <f t="shared" si="154"/>
        <v>19</v>
      </c>
      <c r="D419430" s="5" t="s">
        <v>18</v>
      </c>
      <c r="E419430" s="11" t="s">
        <v>14</v>
      </c>
      <c r="F419430" s="9" t="s">
        <v>15</v>
      </c>
      <c r="G419430">
        <v>1</v>
      </c>
      <c r="J419430" s="7">
        <v>0.497</v>
      </c>
      <c r="K419430" s="11">
        <v>2026</v>
      </c>
      <c r="L419430" t="s">
        <v>25</v>
      </c>
      <c r="M419430" t="s">
        <v>17</v>
      </c>
    </row>
    <row r="419431" spans="1:13" x14ac:dyDescent="0.25">
      <c r="A419431" s="6">
        <v>46148</v>
      </c>
      <c r="B419431" s="11">
        <v>5</v>
      </c>
      <c r="C419431" s="11">
        <v>19</v>
      </c>
      <c r="D419431" s="5" t="s">
        <v>19</v>
      </c>
      <c r="E419431" s="11" t="s">
        <v>14</v>
      </c>
      <c r="F419431" s="9" t="s">
        <v>22</v>
      </c>
      <c r="G419431">
        <v>1</v>
      </c>
      <c r="J419431" s="7">
        <v>10.250999999999999</v>
      </c>
      <c r="K419431" s="11">
        <v>2026</v>
      </c>
      <c r="L419431" t="s">
        <v>25</v>
      </c>
      <c r="M419431" t="s">
        <v>17</v>
      </c>
    </row>
    <row r="419432" spans="1:13" x14ac:dyDescent="0.25">
      <c r="A419432" s="6">
        <v>46147</v>
      </c>
      <c r="B419432" s="11">
        <v>5</v>
      </c>
      <c r="C419432" s="11">
        <v>19</v>
      </c>
      <c r="D419432" s="5" t="s">
        <v>19</v>
      </c>
      <c r="E419432" s="11" t="s">
        <v>14</v>
      </c>
      <c r="F419432" s="9" t="s">
        <v>22</v>
      </c>
      <c r="G419432">
        <v>1</v>
      </c>
      <c r="J419432" s="7">
        <v>6.21</v>
      </c>
      <c r="K419432" s="11">
        <v>2026</v>
      </c>
      <c r="L419432" t="s">
        <v>25</v>
      </c>
      <c r="M419432" t="s">
        <v>17</v>
      </c>
    </row>
    <row r="419433" spans="1:13" x14ac:dyDescent="0.25">
      <c r="A419433" s="6">
        <v>46146.791666666664</v>
      </c>
      <c r="B419433" s="11">
        <f t="shared" ref="B419433:B419436" si="155">MONTH(A419433)</f>
        <v>5</v>
      </c>
      <c r="C419433" s="11">
        <f t="shared" ref="C419433:C419436" si="156">WEEKNUM(A419433)</f>
        <v>19</v>
      </c>
      <c r="D419433" s="5" t="s">
        <v>18</v>
      </c>
      <c r="E419433" s="11" t="s">
        <v>14</v>
      </c>
      <c r="F419433" s="9" t="s">
        <v>15</v>
      </c>
      <c r="G419433">
        <v>1</v>
      </c>
      <c r="J419433" s="7">
        <v>5.28</v>
      </c>
      <c r="K419433" s="11">
        <v>2026</v>
      </c>
      <c r="L419433" t="s">
        <v>25</v>
      </c>
      <c r="M419433" t="s">
        <v>17</v>
      </c>
    </row>
    <row r="419434" spans="1:13" x14ac:dyDescent="0.25">
      <c r="A419434" s="6">
        <v>46146.791666666664</v>
      </c>
      <c r="B419434" s="11">
        <f t="shared" si="155"/>
        <v>5</v>
      </c>
      <c r="C419434" s="11">
        <f t="shared" si="156"/>
        <v>19</v>
      </c>
      <c r="D419434" s="5" t="s">
        <v>18</v>
      </c>
      <c r="E419434" s="11" t="s">
        <v>14</v>
      </c>
      <c r="F419434" s="9" t="s">
        <v>15</v>
      </c>
      <c r="G419434">
        <v>1</v>
      </c>
      <c r="J419434" s="7">
        <v>7.6639999999999997</v>
      </c>
      <c r="K419434" s="11">
        <v>2026</v>
      </c>
      <c r="L419434" t="s">
        <v>25</v>
      </c>
      <c r="M419434" t="s">
        <v>17</v>
      </c>
    </row>
    <row r="419435" spans="1:13" x14ac:dyDescent="0.25">
      <c r="A419435" s="6">
        <v>46146.791666666664</v>
      </c>
      <c r="B419435" s="11">
        <f t="shared" si="155"/>
        <v>5</v>
      </c>
      <c r="C419435" s="11">
        <f t="shared" si="156"/>
        <v>19</v>
      </c>
      <c r="D419435" s="5" t="s">
        <v>13</v>
      </c>
      <c r="E419435" s="11" t="s">
        <v>14</v>
      </c>
      <c r="F419435" s="9" t="s">
        <v>15</v>
      </c>
      <c r="G419435">
        <v>1</v>
      </c>
      <c r="J419435" s="7">
        <v>2.3079999999999998</v>
      </c>
      <c r="K419435" s="11">
        <v>2026</v>
      </c>
      <c r="L419435" t="s">
        <v>25</v>
      </c>
      <c r="M419435" t="s">
        <v>17</v>
      </c>
    </row>
    <row r="419436" spans="1:13" x14ac:dyDescent="0.25">
      <c r="A419436" s="6">
        <v>46147</v>
      </c>
      <c r="B419436" s="11">
        <f t="shared" si="155"/>
        <v>5</v>
      </c>
      <c r="C419436" s="11">
        <f t="shared" si="156"/>
        <v>19</v>
      </c>
      <c r="D419436" s="5" t="s">
        <v>13</v>
      </c>
      <c r="E419436" s="11" t="s">
        <v>14</v>
      </c>
      <c r="F419436" s="9" t="s">
        <v>15</v>
      </c>
      <c r="G419436">
        <v>1</v>
      </c>
      <c r="J419436" s="7">
        <v>3.0939999999999999</v>
      </c>
      <c r="K419436" s="11">
        <v>2026</v>
      </c>
      <c r="L419436" t="s">
        <v>25</v>
      </c>
      <c r="M419436" t="s">
        <v>17</v>
      </c>
    </row>
    <row r="419437" spans="1:13" x14ac:dyDescent="0.25">
      <c r="A419437" s="6">
        <v>46149.166666666664</v>
      </c>
      <c r="B419437" s="11">
        <v>5</v>
      </c>
      <c r="C419437" s="11">
        <v>19</v>
      </c>
      <c r="D419437" s="5" t="s">
        <v>13</v>
      </c>
      <c r="E419437" s="11" t="s">
        <v>14</v>
      </c>
      <c r="F419437" s="9" t="s">
        <v>22</v>
      </c>
      <c r="G419437">
        <v>1</v>
      </c>
      <c r="J419437" s="7">
        <v>0.624</v>
      </c>
      <c r="K419437" s="11">
        <v>2026</v>
      </c>
      <c r="L419437" t="s">
        <v>25</v>
      </c>
      <c r="M419437" t="s">
        <v>17</v>
      </c>
    </row>
    <row r="419438" spans="1:13" x14ac:dyDescent="0.25">
      <c r="A419438" s="6">
        <v>46146</v>
      </c>
      <c r="B419438" s="11">
        <v>5</v>
      </c>
      <c r="C419438" s="11">
        <v>19</v>
      </c>
      <c r="D419438" s="5" t="s">
        <v>18</v>
      </c>
      <c r="E419438" s="11" t="s">
        <v>14</v>
      </c>
      <c r="F419438" s="9" t="s">
        <v>22</v>
      </c>
      <c r="G419438">
        <v>1</v>
      </c>
      <c r="J419438" s="7">
        <v>4.5999999999999996</v>
      </c>
      <c r="K419438" s="11">
        <v>2026</v>
      </c>
      <c r="L419438" t="s">
        <v>25</v>
      </c>
      <c r="M419438" t="s">
        <v>17</v>
      </c>
    </row>
    <row r="419439" spans="1:13" x14ac:dyDescent="0.25">
      <c r="A419439" s="6">
        <v>46150.666666666664</v>
      </c>
      <c r="B419439" s="11">
        <f t="shared" ref="B419439:B419441" si="157">MONTH(A419439)</f>
        <v>5</v>
      </c>
      <c r="C419439" s="11">
        <f t="shared" ref="C419439:C419441" si="158">WEEKNUM(A419439)</f>
        <v>19</v>
      </c>
      <c r="D419439" s="5" t="s">
        <v>13</v>
      </c>
      <c r="E419439" s="11" t="s">
        <v>14</v>
      </c>
      <c r="F419439" s="9" t="s">
        <v>15</v>
      </c>
      <c r="G419439">
        <v>1</v>
      </c>
      <c r="J419439" s="7">
        <v>8.6519999999999992</v>
      </c>
      <c r="K419439" s="11">
        <v>2026</v>
      </c>
      <c r="L419439" t="s">
        <v>25</v>
      </c>
      <c r="M419439" t="s">
        <v>17</v>
      </c>
    </row>
    <row r="419440" spans="1:13" x14ac:dyDescent="0.25">
      <c r="A419440" s="6">
        <v>46147</v>
      </c>
      <c r="B419440" s="11">
        <f t="shared" si="157"/>
        <v>5</v>
      </c>
      <c r="C419440" s="11">
        <f t="shared" si="158"/>
        <v>19</v>
      </c>
      <c r="D419440" s="5" t="s">
        <v>13</v>
      </c>
      <c r="E419440" s="11" t="s">
        <v>14</v>
      </c>
      <c r="F419440" s="9" t="s">
        <v>15</v>
      </c>
      <c r="G419440">
        <v>1</v>
      </c>
      <c r="J419440" s="7">
        <v>7.26</v>
      </c>
      <c r="K419440" s="11">
        <v>2026</v>
      </c>
      <c r="L419440" t="s">
        <v>25</v>
      </c>
      <c r="M419440" t="s">
        <v>17</v>
      </c>
    </row>
    <row r="419441" spans="1:13" x14ac:dyDescent="0.25">
      <c r="A419441" s="6">
        <v>46147</v>
      </c>
      <c r="B419441" s="11">
        <f t="shared" si="157"/>
        <v>5</v>
      </c>
      <c r="C419441" s="11">
        <f t="shared" si="158"/>
        <v>19</v>
      </c>
      <c r="D419441" s="5" t="s">
        <v>13</v>
      </c>
      <c r="E419441" s="11" t="s">
        <v>14</v>
      </c>
      <c r="F419441" s="9" t="s">
        <v>15</v>
      </c>
      <c r="G419441">
        <v>1</v>
      </c>
      <c r="J419441" s="7">
        <v>4.0000000000000001E-3</v>
      </c>
      <c r="K419441" s="11">
        <v>2026</v>
      </c>
      <c r="L419441" t="s">
        <v>25</v>
      </c>
      <c r="M419441" t="s">
        <v>17</v>
      </c>
    </row>
    <row r="419442" spans="1:13" x14ac:dyDescent="0.25">
      <c r="A419442" s="6">
        <v>46145</v>
      </c>
      <c r="B419442" s="11">
        <v>5</v>
      </c>
      <c r="C419442" s="11">
        <v>19</v>
      </c>
      <c r="D419442" s="5" t="s">
        <v>19</v>
      </c>
      <c r="E419442" s="11" t="s">
        <v>14</v>
      </c>
      <c r="F419442" s="9" t="s">
        <v>22</v>
      </c>
      <c r="G419442">
        <v>1</v>
      </c>
      <c r="J419442" s="7">
        <v>4.0599999999999996</v>
      </c>
      <c r="K419442" s="11">
        <v>2026</v>
      </c>
      <c r="L419442" t="s">
        <v>25</v>
      </c>
      <c r="M419442" t="s">
        <v>17</v>
      </c>
    </row>
    <row r="419443" spans="1:13" x14ac:dyDescent="0.25">
      <c r="A419443" s="6">
        <v>46150.666666666664</v>
      </c>
      <c r="B419443" s="11">
        <f t="shared" ref="B419443" si="159">MONTH(A419443)</f>
        <v>5</v>
      </c>
      <c r="C419443" s="11">
        <f t="shared" ref="C419443" si="160">WEEKNUM(A419443)</f>
        <v>19</v>
      </c>
      <c r="D419443" s="5" t="s">
        <v>13</v>
      </c>
      <c r="E419443" s="11" t="s">
        <v>14</v>
      </c>
      <c r="F419443" s="9" t="s">
        <v>15</v>
      </c>
      <c r="G419443">
        <v>1</v>
      </c>
      <c r="J419443" s="7">
        <v>0.14199999999999999</v>
      </c>
      <c r="K419443" s="11">
        <v>2026</v>
      </c>
      <c r="L419443" t="s">
        <v>25</v>
      </c>
      <c r="M419443" t="s">
        <v>17</v>
      </c>
    </row>
    <row r="419444" spans="1:13" x14ac:dyDescent="0.25">
      <c r="A419444" s="6">
        <v>46145</v>
      </c>
      <c r="B419444" s="11">
        <v>5</v>
      </c>
      <c r="C419444" s="11">
        <v>19</v>
      </c>
      <c r="D419444" s="5" t="s">
        <v>19</v>
      </c>
      <c r="E419444" s="11" t="s">
        <v>14</v>
      </c>
      <c r="F419444" s="9" t="s">
        <v>22</v>
      </c>
      <c r="G419444">
        <v>1</v>
      </c>
      <c r="J419444" s="7">
        <v>2.38</v>
      </c>
      <c r="K419444" s="11">
        <v>2026</v>
      </c>
      <c r="L419444" t="s">
        <v>25</v>
      </c>
      <c r="M419444" t="s">
        <v>17</v>
      </c>
    </row>
    <row r="419445" spans="1:13" x14ac:dyDescent="0.25">
      <c r="A419445" s="6">
        <v>46147</v>
      </c>
      <c r="B419445" s="11">
        <f t="shared" ref="B419445:B419446" si="161">MONTH(A419445)</f>
        <v>5</v>
      </c>
      <c r="C419445" s="11">
        <f t="shared" ref="C419445:C419446" si="162">WEEKNUM(A419445)</f>
        <v>19</v>
      </c>
      <c r="D419445" s="5" t="s">
        <v>13</v>
      </c>
      <c r="E419445" s="11" t="s">
        <v>14</v>
      </c>
      <c r="F419445" s="9" t="s">
        <v>15</v>
      </c>
      <c r="G419445">
        <v>1</v>
      </c>
      <c r="J419445" s="7">
        <v>1.82</v>
      </c>
      <c r="K419445" s="11">
        <v>2026</v>
      </c>
      <c r="L419445" t="s">
        <v>25</v>
      </c>
      <c r="M419445" t="s">
        <v>17</v>
      </c>
    </row>
    <row r="419446" spans="1:13" x14ac:dyDescent="0.25">
      <c r="A419446" s="6">
        <v>46147</v>
      </c>
      <c r="B419446" s="11">
        <f t="shared" si="161"/>
        <v>5</v>
      </c>
      <c r="C419446" s="11">
        <f t="shared" si="162"/>
        <v>19</v>
      </c>
      <c r="D419446" s="5" t="s">
        <v>13</v>
      </c>
      <c r="E419446" s="11" t="s">
        <v>14</v>
      </c>
      <c r="F419446" s="9" t="s">
        <v>15</v>
      </c>
      <c r="G419446">
        <v>1</v>
      </c>
      <c r="J419446" s="7">
        <v>8.7940000000000005</v>
      </c>
      <c r="K419446" s="11">
        <v>2026</v>
      </c>
      <c r="L419446" t="s">
        <v>25</v>
      </c>
      <c r="M419446" t="s">
        <v>17</v>
      </c>
    </row>
    <row r="419447" spans="1:13" x14ac:dyDescent="0.25">
      <c r="A419447" s="6">
        <v>46151</v>
      </c>
      <c r="B419447" s="11">
        <v>5</v>
      </c>
      <c r="C419447" s="11">
        <v>19</v>
      </c>
      <c r="D419447" s="5" t="s">
        <v>18</v>
      </c>
      <c r="E419447" s="11" t="s">
        <v>14</v>
      </c>
      <c r="F419447" s="9" t="s">
        <v>22</v>
      </c>
      <c r="G419447">
        <v>1</v>
      </c>
      <c r="J419447" s="7">
        <v>2.46</v>
      </c>
      <c r="K419447" s="11">
        <v>2026</v>
      </c>
      <c r="L419447" t="s">
        <v>25</v>
      </c>
      <c r="M419447" t="s">
        <v>17</v>
      </c>
    </row>
    <row r="419448" spans="1:13" x14ac:dyDescent="0.25">
      <c r="A419448" s="6">
        <v>46149</v>
      </c>
      <c r="B419448" s="11">
        <v>5</v>
      </c>
      <c r="C419448" s="11">
        <v>19</v>
      </c>
      <c r="D419448" s="5" t="s">
        <v>13</v>
      </c>
      <c r="E419448" s="11" t="s">
        <v>14</v>
      </c>
      <c r="F419448" s="9" t="s">
        <v>22</v>
      </c>
      <c r="G419448">
        <v>1</v>
      </c>
      <c r="J419448" s="7">
        <v>1.89</v>
      </c>
      <c r="K419448" s="11">
        <v>2026</v>
      </c>
      <c r="L419448" t="s">
        <v>25</v>
      </c>
      <c r="M419448" t="s">
        <v>17</v>
      </c>
    </row>
    <row r="419449" spans="1:13" x14ac:dyDescent="0.25">
      <c r="A419449" s="6">
        <v>46148</v>
      </c>
      <c r="B419449" s="11">
        <v>5</v>
      </c>
      <c r="C419449" s="11">
        <v>19</v>
      </c>
      <c r="D419449" s="5" t="s">
        <v>19</v>
      </c>
      <c r="E419449" s="11" t="s">
        <v>14</v>
      </c>
      <c r="F419449" s="9" t="s">
        <v>22</v>
      </c>
      <c r="G419449">
        <v>1</v>
      </c>
      <c r="J419449" s="7">
        <v>11.2</v>
      </c>
      <c r="K419449" s="11">
        <v>2026</v>
      </c>
      <c r="L419449" t="s">
        <v>25</v>
      </c>
      <c r="M419449" t="s">
        <v>17</v>
      </c>
    </row>
    <row r="419450" spans="1:13" x14ac:dyDescent="0.25">
      <c r="A419450" s="6">
        <v>46151</v>
      </c>
      <c r="B419450" s="11">
        <v>5</v>
      </c>
      <c r="C419450" s="11">
        <v>19</v>
      </c>
      <c r="D419450" s="5" t="s">
        <v>13</v>
      </c>
      <c r="E419450" s="11" t="s">
        <v>14</v>
      </c>
      <c r="F419450" s="9" t="s">
        <v>22</v>
      </c>
      <c r="G419450">
        <v>1</v>
      </c>
      <c r="J419450" s="7">
        <v>9.2859999999999996</v>
      </c>
      <c r="K419450" s="11">
        <v>2026</v>
      </c>
      <c r="L419450" t="s">
        <v>25</v>
      </c>
      <c r="M419450" t="s">
        <v>17</v>
      </c>
    </row>
    <row r="419451" spans="1:13" x14ac:dyDescent="0.25">
      <c r="A419451" s="6">
        <v>46150.802083333336</v>
      </c>
      <c r="B419451" s="11">
        <v>5</v>
      </c>
      <c r="C419451" s="11">
        <v>19</v>
      </c>
      <c r="D419451" s="5" t="s">
        <v>18</v>
      </c>
      <c r="E419451" s="11" t="s">
        <v>14</v>
      </c>
      <c r="F419451" s="9" t="s">
        <v>22</v>
      </c>
      <c r="G419451">
        <v>1</v>
      </c>
      <c r="J419451" s="7">
        <v>7.3</v>
      </c>
      <c r="K419451" s="11">
        <v>2026</v>
      </c>
      <c r="L419451" t="s">
        <v>25</v>
      </c>
      <c r="M419451" t="s">
        <v>17</v>
      </c>
    </row>
    <row r="419452" spans="1:13" x14ac:dyDescent="0.25">
      <c r="A419452" s="6">
        <v>46148.8125</v>
      </c>
      <c r="B419452" s="11">
        <v>5</v>
      </c>
      <c r="C419452" s="11">
        <v>19</v>
      </c>
      <c r="D419452" s="5" t="s">
        <v>19</v>
      </c>
      <c r="E419452" s="11" t="s">
        <v>14</v>
      </c>
      <c r="F419452" s="9" t="s">
        <v>22</v>
      </c>
      <c r="G419452">
        <v>1</v>
      </c>
      <c r="J419452" s="7">
        <v>1.54</v>
      </c>
      <c r="K419452" s="11">
        <v>2026</v>
      </c>
      <c r="L419452" t="s">
        <v>25</v>
      </c>
      <c r="M419452" t="s">
        <v>17</v>
      </c>
    </row>
    <row r="419453" spans="1:13" x14ac:dyDescent="0.25">
      <c r="A419453" s="6">
        <v>46148</v>
      </c>
      <c r="B419453" s="11">
        <f t="shared" ref="B419453" si="163">MONTH(A419453)</f>
        <v>5</v>
      </c>
      <c r="C419453" s="11">
        <f t="shared" ref="C419453" si="164">WEEKNUM(A419453)</f>
        <v>19</v>
      </c>
      <c r="D419453" s="5" t="s">
        <v>18</v>
      </c>
      <c r="E419453" s="11" t="s">
        <v>14</v>
      </c>
      <c r="F419453" s="9" t="s">
        <v>15</v>
      </c>
      <c r="G419453">
        <v>1</v>
      </c>
      <c r="J419453" s="7">
        <v>7.9139999999999997</v>
      </c>
      <c r="K419453" s="11">
        <v>2026</v>
      </c>
      <c r="L419453" t="s">
        <v>25</v>
      </c>
      <c r="M419453" t="s">
        <v>17</v>
      </c>
    </row>
    <row r="419454" spans="1:13" x14ac:dyDescent="0.25">
      <c r="A419454" s="6">
        <v>46147.166666666664</v>
      </c>
      <c r="B419454" s="11">
        <v>5</v>
      </c>
      <c r="C419454" s="11">
        <v>19</v>
      </c>
      <c r="D419454" s="5" t="s">
        <v>13</v>
      </c>
      <c r="E419454" s="11" t="s">
        <v>14</v>
      </c>
      <c r="F419454" s="9" t="s">
        <v>22</v>
      </c>
      <c r="G419454">
        <v>1</v>
      </c>
      <c r="J419454" s="7">
        <v>5.6440000000000001</v>
      </c>
      <c r="K419454" s="11">
        <v>2026</v>
      </c>
      <c r="L419454" t="s">
        <v>25</v>
      </c>
      <c r="M419454" t="s">
        <v>17</v>
      </c>
    </row>
    <row r="419455" spans="1:13" x14ac:dyDescent="0.25">
      <c r="A419455" s="6">
        <v>46148.166666666664</v>
      </c>
      <c r="B419455" s="11">
        <v>5</v>
      </c>
      <c r="C419455" s="11">
        <v>19</v>
      </c>
      <c r="D419455" s="5" t="s">
        <v>13</v>
      </c>
      <c r="E419455" s="11" t="s">
        <v>14</v>
      </c>
      <c r="F419455" s="9" t="s">
        <v>22</v>
      </c>
      <c r="G419455">
        <v>1</v>
      </c>
      <c r="J419455" s="7">
        <v>2.8959999999999999</v>
      </c>
      <c r="K419455" s="11">
        <v>2026</v>
      </c>
      <c r="L419455" t="s">
        <v>25</v>
      </c>
      <c r="M419455" t="s">
        <v>17</v>
      </c>
    </row>
    <row r="419456" spans="1:13" x14ac:dyDescent="0.25">
      <c r="A419456" s="6">
        <v>46147.166666666664</v>
      </c>
      <c r="B419456" s="11">
        <v>5</v>
      </c>
      <c r="C419456" s="11">
        <v>19</v>
      </c>
      <c r="D419456" s="5" t="s">
        <v>13</v>
      </c>
      <c r="E419456" s="11" t="s">
        <v>14</v>
      </c>
      <c r="F419456" s="9" t="s">
        <v>22</v>
      </c>
      <c r="G419456">
        <v>1</v>
      </c>
      <c r="J419456" s="7">
        <v>0.76</v>
      </c>
      <c r="K419456" s="11">
        <v>2026</v>
      </c>
      <c r="L419456" t="s">
        <v>25</v>
      </c>
      <c r="M419456" t="s">
        <v>17</v>
      </c>
    </row>
    <row r="419457" spans="1:13" x14ac:dyDescent="0.25">
      <c r="A419457" s="6">
        <v>46147.541666666664</v>
      </c>
      <c r="B419457" s="11">
        <f t="shared" ref="B419457:B419458" si="165">MONTH(A419457)</f>
        <v>5</v>
      </c>
      <c r="C419457" s="11">
        <f t="shared" ref="C419457:C419458" si="166">WEEKNUM(A419457)</f>
        <v>19</v>
      </c>
      <c r="D419457" s="5" t="s">
        <v>13</v>
      </c>
      <c r="E419457" s="11" t="s">
        <v>14</v>
      </c>
      <c r="F419457" s="9" t="s">
        <v>15</v>
      </c>
      <c r="G419457">
        <v>1</v>
      </c>
      <c r="J419457" s="7">
        <v>7.0369999999999999</v>
      </c>
      <c r="K419457" s="11">
        <v>2026</v>
      </c>
      <c r="L419457" t="s">
        <v>25</v>
      </c>
      <c r="M419457" t="s">
        <v>17</v>
      </c>
    </row>
    <row r="419458" spans="1:13" x14ac:dyDescent="0.25">
      <c r="A419458" s="6">
        <v>46146.791666666664</v>
      </c>
      <c r="B419458" s="11">
        <f t="shared" si="165"/>
        <v>5</v>
      </c>
      <c r="C419458" s="11">
        <f t="shared" si="166"/>
        <v>19</v>
      </c>
      <c r="D419458" s="5" t="s">
        <v>18</v>
      </c>
      <c r="E419458" s="11" t="s">
        <v>14</v>
      </c>
      <c r="F419458" s="9" t="s">
        <v>15</v>
      </c>
      <c r="G419458">
        <v>1</v>
      </c>
      <c r="J419458" s="7">
        <v>4.0369999999999999</v>
      </c>
      <c r="K419458" s="11">
        <v>2026</v>
      </c>
      <c r="L419458" t="s">
        <v>25</v>
      </c>
      <c r="M419458" t="s">
        <v>17</v>
      </c>
    </row>
    <row r="419459" spans="1:13" x14ac:dyDescent="0.25">
      <c r="A419459" s="6">
        <v>46147.643750000003</v>
      </c>
      <c r="B419459" s="11">
        <v>5</v>
      </c>
      <c r="C419459" s="11">
        <v>19</v>
      </c>
      <c r="D419459" s="5" t="s">
        <v>18</v>
      </c>
      <c r="E419459" s="11" t="s">
        <v>14</v>
      </c>
      <c r="F419459" s="9" t="s">
        <v>22</v>
      </c>
      <c r="G419459">
        <v>1</v>
      </c>
      <c r="J419459" s="7">
        <v>0.79300000000000004</v>
      </c>
      <c r="K419459" s="11">
        <v>2026</v>
      </c>
      <c r="L419459" t="s">
        <v>25</v>
      </c>
      <c r="M419459" t="s">
        <v>17</v>
      </c>
    </row>
    <row r="419460" spans="1:13" x14ac:dyDescent="0.25">
      <c r="A419460" s="6">
        <v>46151</v>
      </c>
      <c r="B419460" s="11">
        <v>5</v>
      </c>
      <c r="C419460" s="11">
        <v>19</v>
      </c>
      <c r="D419460" s="5" t="s">
        <v>18</v>
      </c>
      <c r="E419460" s="11" t="s">
        <v>14</v>
      </c>
      <c r="F419460" s="9" t="s">
        <v>22</v>
      </c>
      <c r="G419460">
        <v>1</v>
      </c>
      <c r="J419460" s="7">
        <v>1.84</v>
      </c>
      <c r="K419460" s="11">
        <v>2026</v>
      </c>
      <c r="L419460" t="s">
        <v>25</v>
      </c>
      <c r="M419460" t="s">
        <v>17</v>
      </c>
    </row>
    <row r="419461" spans="1:13" x14ac:dyDescent="0.25">
      <c r="A419461" s="6">
        <v>46149.166666666664</v>
      </c>
      <c r="B419461" s="11">
        <v>5</v>
      </c>
      <c r="C419461" s="11">
        <v>19</v>
      </c>
      <c r="D419461" s="5" t="s">
        <v>13</v>
      </c>
      <c r="E419461" s="11" t="s">
        <v>14</v>
      </c>
      <c r="F419461" s="9" t="s">
        <v>22</v>
      </c>
      <c r="G419461">
        <v>1</v>
      </c>
      <c r="J419461" s="7">
        <v>2.6110000000000002</v>
      </c>
      <c r="K419461" s="11">
        <v>2026</v>
      </c>
      <c r="L419461" t="s">
        <v>25</v>
      </c>
      <c r="M419461" t="s">
        <v>17</v>
      </c>
    </row>
    <row r="419462" spans="1:13" x14ac:dyDescent="0.25">
      <c r="A419462" s="6">
        <v>46149.166666666664</v>
      </c>
      <c r="B419462" s="11">
        <v>5</v>
      </c>
      <c r="C419462" s="11">
        <v>19</v>
      </c>
      <c r="D419462" s="5" t="s">
        <v>13</v>
      </c>
      <c r="E419462" s="11" t="s">
        <v>14</v>
      </c>
      <c r="F419462" s="9" t="s">
        <v>22</v>
      </c>
      <c r="G419462">
        <v>1</v>
      </c>
      <c r="J419462" s="7">
        <v>2.8000000000000001E-2</v>
      </c>
      <c r="K419462" s="11">
        <v>2026</v>
      </c>
      <c r="L419462" t="s">
        <v>25</v>
      </c>
      <c r="M419462" t="s">
        <v>17</v>
      </c>
    </row>
    <row r="419463" spans="1:13" x14ac:dyDescent="0.25">
      <c r="A419463" s="6">
        <v>46147</v>
      </c>
      <c r="B419463" s="11">
        <f t="shared" ref="B419463:B419468" si="167">MONTH(A419463)</f>
        <v>5</v>
      </c>
      <c r="C419463" s="11">
        <f t="shared" ref="C419463:C419468" si="168">WEEKNUM(A419463)</f>
        <v>19</v>
      </c>
      <c r="D419463" s="5" t="s">
        <v>13</v>
      </c>
      <c r="E419463" s="11" t="s">
        <v>14</v>
      </c>
      <c r="F419463" s="9" t="s">
        <v>15</v>
      </c>
      <c r="G419463">
        <v>1</v>
      </c>
      <c r="J419463" s="7">
        <v>4.24</v>
      </c>
      <c r="K419463" s="11">
        <v>2026</v>
      </c>
      <c r="L419463" t="s">
        <v>25</v>
      </c>
      <c r="M419463" t="s">
        <v>17</v>
      </c>
    </row>
    <row r="419464" spans="1:13" x14ac:dyDescent="0.25">
      <c r="A419464" s="6">
        <v>46147</v>
      </c>
      <c r="B419464" s="11">
        <f t="shared" si="167"/>
        <v>5</v>
      </c>
      <c r="C419464" s="11">
        <f t="shared" si="168"/>
        <v>19</v>
      </c>
      <c r="D419464" s="5" t="s">
        <v>13</v>
      </c>
      <c r="E419464" s="11" t="s">
        <v>14</v>
      </c>
      <c r="F419464" s="9" t="s">
        <v>15</v>
      </c>
      <c r="G419464">
        <v>1</v>
      </c>
      <c r="J419464" s="7">
        <v>3.65</v>
      </c>
      <c r="K419464" s="11">
        <v>2026</v>
      </c>
      <c r="L419464" t="s">
        <v>25</v>
      </c>
      <c r="M419464" t="s">
        <v>17</v>
      </c>
    </row>
    <row r="419465" spans="1:13" x14ac:dyDescent="0.25">
      <c r="A419465" s="6">
        <v>46147</v>
      </c>
      <c r="B419465" s="11">
        <f t="shared" si="167"/>
        <v>5</v>
      </c>
      <c r="C419465" s="11">
        <f t="shared" si="168"/>
        <v>19</v>
      </c>
      <c r="D419465" s="5" t="s">
        <v>13</v>
      </c>
      <c r="E419465" s="11" t="s">
        <v>14</v>
      </c>
      <c r="F419465" s="9" t="s">
        <v>15</v>
      </c>
      <c r="G419465">
        <v>1</v>
      </c>
      <c r="J419465" s="7">
        <v>13.63</v>
      </c>
      <c r="K419465" s="11">
        <v>2026</v>
      </c>
      <c r="L419465" t="s">
        <v>25</v>
      </c>
      <c r="M419465" t="s">
        <v>17</v>
      </c>
    </row>
    <row r="419466" spans="1:13" x14ac:dyDescent="0.25">
      <c r="A419466" s="6">
        <v>46147</v>
      </c>
      <c r="B419466" s="11">
        <f t="shared" si="167"/>
        <v>5</v>
      </c>
      <c r="C419466" s="11">
        <f t="shared" si="168"/>
        <v>19</v>
      </c>
      <c r="D419466" s="5" t="s">
        <v>18</v>
      </c>
      <c r="E419466" s="11" t="s">
        <v>14</v>
      </c>
      <c r="F419466" s="9" t="s">
        <v>15</v>
      </c>
      <c r="G419466">
        <v>1</v>
      </c>
      <c r="J419466" s="7">
        <v>5.7</v>
      </c>
      <c r="K419466" s="11">
        <v>2026</v>
      </c>
      <c r="L419466" t="s">
        <v>25</v>
      </c>
      <c r="M419466" t="s">
        <v>17</v>
      </c>
    </row>
    <row r="419467" spans="1:13" x14ac:dyDescent="0.25">
      <c r="A419467" s="6">
        <v>46147</v>
      </c>
      <c r="B419467" s="11">
        <f t="shared" si="167"/>
        <v>5</v>
      </c>
      <c r="C419467" s="11">
        <f t="shared" si="168"/>
        <v>19</v>
      </c>
      <c r="D419467" s="5" t="s">
        <v>18</v>
      </c>
      <c r="E419467" s="11" t="s">
        <v>14</v>
      </c>
      <c r="F419467" s="9" t="s">
        <v>15</v>
      </c>
      <c r="G419467">
        <v>1</v>
      </c>
      <c r="J419467" s="7">
        <v>0.94</v>
      </c>
      <c r="K419467" s="11">
        <v>2026</v>
      </c>
      <c r="L419467" t="s">
        <v>25</v>
      </c>
      <c r="M419467" t="s">
        <v>17</v>
      </c>
    </row>
    <row r="419468" spans="1:13" x14ac:dyDescent="0.25">
      <c r="A419468" s="6">
        <v>46147</v>
      </c>
      <c r="B419468" s="11">
        <f t="shared" si="167"/>
        <v>5</v>
      </c>
      <c r="C419468" s="11">
        <f t="shared" si="168"/>
        <v>19</v>
      </c>
      <c r="D419468" s="5" t="s">
        <v>13</v>
      </c>
      <c r="E419468" s="11" t="s">
        <v>14</v>
      </c>
      <c r="F419468" s="9" t="s">
        <v>15</v>
      </c>
      <c r="G419468">
        <v>1</v>
      </c>
      <c r="J419468" s="7">
        <v>4.96</v>
      </c>
      <c r="K419468" s="11">
        <v>2026</v>
      </c>
      <c r="L419468" t="s">
        <v>25</v>
      </c>
      <c r="M419468" t="s">
        <v>17</v>
      </c>
    </row>
    <row r="419469" spans="1:13" x14ac:dyDescent="0.25">
      <c r="A419469" s="6">
        <v>46149</v>
      </c>
      <c r="B419469" s="11">
        <v>5</v>
      </c>
      <c r="C419469" s="11">
        <v>19</v>
      </c>
      <c r="D419469" s="5" t="s">
        <v>19</v>
      </c>
      <c r="E419469" s="11" t="s">
        <v>14</v>
      </c>
      <c r="F419469" s="9" t="s">
        <v>22</v>
      </c>
      <c r="G419469">
        <v>1</v>
      </c>
      <c r="J419469" s="7">
        <v>0.68600000000000005</v>
      </c>
      <c r="K419469" s="11">
        <v>2026</v>
      </c>
      <c r="L419469" t="s">
        <v>25</v>
      </c>
      <c r="M419469" t="s">
        <v>17</v>
      </c>
    </row>
    <row r="419470" spans="1:13" x14ac:dyDescent="0.25">
      <c r="A419470" s="6">
        <v>46147</v>
      </c>
      <c r="B419470" s="11">
        <v>5</v>
      </c>
      <c r="C419470" s="11">
        <v>19</v>
      </c>
      <c r="D419470" s="5" t="s">
        <v>19</v>
      </c>
      <c r="E419470" s="11" t="s">
        <v>14</v>
      </c>
      <c r="F419470" s="9" t="s">
        <v>22</v>
      </c>
      <c r="G419470">
        <v>1</v>
      </c>
      <c r="J419470" s="7">
        <v>1.8819999999999999</v>
      </c>
      <c r="K419470" s="11">
        <v>2026</v>
      </c>
      <c r="L419470" t="s">
        <v>25</v>
      </c>
      <c r="M419470" t="s">
        <v>17</v>
      </c>
    </row>
    <row r="419471" spans="1:13" x14ac:dyDescent="0.25">
      <c r="A419471" s="6">
        <v>46149</v>
      </c>
      <c r="B419471" s="11">
        <v>5</v>
      </c>
      <c r="C419471" s="11">
        <v>19</v>
      </c>
      <c r="D419471" s="5" t="s">
        <v>13</v>
      </c>
      <c r="E419471" s="11" t="s">
        <v>14</v>
      </c>
      <c r="F419471" s="9" t="s">
        <v>22</v>
      </c>
      <c r="G419471">
        <v>1</v>
      </c>
      <c r="J419471" s="7">
        <v>1.8620000000000001</v>
      </c>
      <c r="K419471" s="11">
        <v>2026</v>
      </c>
      <c r="L419471" t="s">
        <v>25</v>
      </c>
      <c r="M419471" t="s">
        <v>17</v>
      </c>
    </row>
    <row r="419472" spans="1:13" x14ac:dyDescent="0.25">
      <c r="A419472" s="6">
        <v>46149</v>
      </c>
      <c r="B419472" s="11">
        <v>5</v>
      </c>
      <c r="C419472" s="11">
        <v>19</v>
      </c>
      <c r="D419472" s="5" t="s">
        <v>13</v>
      </c>
      <c r="E419472" s="11" t="s">
        <v>14</v>
      </c>
      <c r="F419472" s="9" t="s">
        <v>22</v>
      </c>
      <c r="G419472">
        <v>1</v>
      </c>
      <c r="J419472" s="7">
        <v>1.8620000000000001</v>
      </c>
      <c r="K419472" s="11">
        <v>2026</v>
      </c>
      <c r="L419472" t="s">
        <v>25</v>
      </c>
      <c r="M419472" t="s">
        <v>17</v>
      </c>
    </row>
    <row r="419473" spans="1:13" x14ac:dyDescent="0.25">
      <c r="A419473" s="6">
        <v>46148.1875</v>
      </c>
      <c r="B419473" s="11">
        <f t="shared" ref="B419473" si="169">MONTH(A419473)</f>
        <v>5</v>
      </c>
      <c r="C419473" s="11">
        <f t="shared" ref="C419473" si="170">WEEKNUM(A419473)</f>
        <v>19</v>
      </c>
      <c r="D419473" s="5" t="s">
        <v>18</v>
      </c>
      <c r="E419473" s="11" t="s">
        <v>14</v>
      </c>
      <c r="F419473" s="9" t="s">
        <v>15</v>
      </c>
      <c r="G419473">
        <v>1</v>
      </c>
      <c r="J419473" s="7">
        <v>20.43</v>
      </c>
      <c r="K419473" s="11">
        <v>2026</v>
      </c>
      <c r="L419473" t="s">
        <v>25</v>
      </c>
      <c r="M419473" t="s">
        <v>17</v>
      </c>
    </row>
    <row r="419474" spans="1:13" x14ac:dyDescent="0.25">
      <c r="A419474" s="6">
        <v>46148</v>
      </c>
      <c r="B419474" s="11">
        <v>5</v>
      </c>
      <c r="C419474" s="11">
        <v>19</v>
      </c>
      <c r="D419474" s="5" t="s">
        <v>19</v>
      </c>
      <c r="E419474" s="11" t="s">
        <v>14</v>
      </c>
      <c r="F419474" s="9" t="s">
        <v>22</v>
      </c>
      <c r="G419474">
        <v>1</v>
      </c>
      <c r="J419474" s="7">
        <v>1.32</v>
      </c>
      <c r="K419474" s="11">
        <v>2026</v>
      </c>
      <c r="L419474" t="s">
        <v>25</v>
      </c>
      <c r="M419474" t="s">
        <v>17</v>
      </c>
    </row>
    <row r="419475" spans="1:13" x14ac:dyDescent="0.25">
      <c r="A419475" s="6">
        <v>46147</v>
      </c>
      <c r="B419475" s="11">
        <v>5</v>
      </c>
      <c r="C419475" s="11">
        <v>19</v>
      </c>
      <c r="D419475" s="5" t="s">
        <v>18</v>
      </c>
      <c r="E419475" s="11" t="s">
        <v>14</v>
      </c>
      <c r="F419475" s="9" t="s">
        <v>22</v>
      </c>
      <c r="G419475">
        <v>1</v>
      </c>
      <c r="J419475" s="7">
        <v>2.73</v>
      </c>
      <c r="K419475" s="11">
        <v>2026</v>
      </c>
      <c r="L419475" t="s">
        <v>25</v>
      </c>
      <c r="M419475" t="s">
        <v>17</v>
      </c>
    </row>
    <row r="419476" spans="1:13" x14ac:dyDescent="0.25">
      <c r="A419476" s="6">
        <v>46150.666666666664</v>
      </c>
      <c r="B419476" s="11">
        <f t="shared" ref="B419476:B419483" si="171">MONTH(A419476)</f>
        <v>5</v>
      </c>
      <c r="C419476" s="11">
        <f t="shared" ref="C419476:C419483" si="172">WEEKNUM(A419476)</f>
        <v>19</v>
      </c>
      <c r="D419476" s="5" t="s">
        <v>24</v>
      </c>
      <c r="E419476" s="11" t="s">
        <v>14</v>
      </c>
      <c r="F419476" s="9" t="s">
        <v>15</v>
      </c>
      <c r="G419476">
        <v>1</v>
      </c>
      <c r="J419476" s="7">
        <v>3.004</v>
      </c>
      <c r="K419476" s="11">
        <v>2026</v>
      </c>
      <c r="L419476" t="s">
        <v>25</v>
      </c>
      <c r="M419476" t="s">
        <v>17</v>
      </c>
    </row>
    <row r="419477" spans="1:13" x14ac:dyDescent="0.25">
      <c r="A419477" s="6">
        <v>46150.666666666664</v>
      </c>
      <c r="B419477" s="11">
        <f t="shared" si="171"/>
        <v>5</v>
      </c>
      <c r="C419477" s="11">
        <f t="shared" si="172"/>
        <v>19</v>
      </c>
      <c r="D419477" s="5" t="s">
        <v>18</v>
      </c>
      <c r="E419477" s="11" t="s">
        <v>14</v>
      </c>
      <c r="F419477" s="9" t="s">
        <v>15</v>
      </c>
      <c r="G419477">
        <v>1</v>
      </c>
      <c r="J419477" s="7">
        <v>0.58099999999999996</v>
      </c>
      <c r="K419477" s="11">
        <v>2026</v>
      </c>
      <c r="L419477" t="s">
        <v>25</v>
      </c>
      <c r="M419477" t="s">
        <v>17</v>
      </c>
    </row>
    <row r="419478" spans="1:13" x14ac:dyDescent="0.25">
      <c r="A419478" s="6">
        <v>46148.125</v>
      </c>
      <c r="B419478" s="11">
        <f t="shared" si="171"/>
        <v>5</v>
      </c>
      <c r="C419478" s="11">
        <f t="shared" si="172"/>
        <v>19</v>
      </c>
      <c r="D419478" s="5" t="s">
        <v>13</v>
      </c>
      <c r="E419478" s="11" t="s">
        <v>14</v>
      </c>
      <c r="F419478" s="9" t="s">
        <v>15</v>
      </c>
      <c r="G419478">
        <v>1</v>
      </c>
      <c r="J419478" s="7">
        <v>12.523</v>
      </c>
      <c r="K419478" s="11">
        <v>2026</v>
      </c>
      <c r="L419478" t="s">
        <v>25</v>
      </c>
      <c r="M419478" t="s">
        <v>17</v>
      </c>
    </row>
    <row r="419479" spans="1:13" x14ac:dyDescent="0.25">
      <c r="A419479" s="6">
        <v>46148.125</v>
      </c>
      <c r="B419479" s="11">
        <f t="shared" si="171"/>
        <v>5</v>
      </c>
      <c r="C419479" s="11">
        <f t="shared" si="172"/>
        <v>19</v>
      </c>
      <c r="D419479" s="5" t="s">
        <v>13</v>
      </c>
      <c r="E419479" s="11" t="s">
        <v>14</v>
      </c>
      <c r="F419479" s="9" t="s">
        <v>15</v>
      </c>
      <c r="G419479">
        <v>1</v>
      </c>
      <c r="J419479" s="7">
        <v>1.101</v>
      </c>
      <c r="K419479" s="11">
        <v>2026</v>
      </c>
      <c r="L419479" t="s">
        <v>25</v>
      </c>
      <c r="M419479" t="s">
        <v>17</v>
      </c>
    </row>
    <row r="419480" spans="1:13" x14ac:dyDescent="0.25">
      <c r="A419480" s="6">
        <v>46148.125</v>
      </c>
      <c r="B419480" s="11">
        <f t="shared" si="171"/>
        <v>5</v>
      </c>
      <c r="C419480" s="11">
        <f t="shared" si="172"/>
        <v>19</v>
      </c>
      <c r="D419480" s="5" t="s">
        <v>13</v>
      </c>
      <c r="E419480" s="11" t="s">
        <v>14</v>
      </c>
      <c r="F419480" s="9" t="s">
        <v>15</v>
      </c>
      <c r="G419480">
        <v>1</v>
      </c>
      <c r="J419480" s="7">
        <v>2.81</v>
      </c>
      <c r="K419480" s="11">
        <v>2026</v>
      </c>
      <c r="L419480" t="s">
        <v>25</v>
      </c>
      <c r="M419480" t="s">
        <v>17</v>
      </c>
    </row>
    <row r="419481" spans="1:13" x14ac:dyDescent="0.25">
      <c r="A419481" s="6">
        <v>46150.666666666664</v>
      </c>
      <c r="B419481" s="11">
        <f t="shared" si="171"/>
        <v>5</v>
      </c>
      <c r="C419481" s="11">
        <f t="shared" si="172"/>
        <v>19</v>
      </c>
      <c r="D419481" s="5" t="s">
        <v>13</v>
      </c>
      <c r="E419481" s="11" t="s">
        <v>14</v>
      </c>
      <c r="F419481" s="9" t="s">
        <v>15</v>
      </c>
      <c r="G419481">
        <v>1</v>
      </c>
      <c r="J419481" s="7">
        <v>1.5</v>
      </c>
      <c r="K419481" s="11">
        <v>2026</v>
      </c>
      <c r="L419481" t="s">
        <v>25</v>
      </c>
      <c r="M419481" t="s">
        <v>17</v>
      </c>
    </row>
    <row r="419482" spans="1:13" x14ac:dyDescent="0.25">
      <c r="A419482" s="6">
        <v>46148.125</v>
      </c>
      <c r="B419482" s="11">
        <f t="shared" si="171"/>
        <v>5</v>
      </c>
      <c r="C419482" s="11">
        <f t="shared" si="172"/>
        <v>19</v>
      </c>
      <c r="D419482" s="5" t="s">
        <v>13</v>
      </c>
      <c r="E419482" s="11" t="s">
        <v>14</v>
      </c>
      <c r="F419482" s="9" t="s">
        <v>15</v>
      </c>
      <c r="G419482">
        <v>1</v>
      </c>
      <c r="J419482" s="7">
        <v>0.879</v>
      </c>
      <c r="K419482" s="11">
        <v>2026</v>
      </c>
      <c r="L419482" t="s">
        <v>25</v>
      </c>
      <c r="M419482" t="s">
        <v>17</v>
      </c>
    </row>
    <row r="419483" spans="1:13" x14ac:dyDescent="0.25">
      <c r="A419483" s="6">
        <v>46148.125</v>
      </c>
      <c r="B419483" s="11">
        <f t="shared" si="171"/>
        <v>5</v>
      </c>
      <c r="C419483" s="11">
        <f t="shared" si="172"/>
        <v>19</v>
      </c>
      <c r="D419483" s="5" t="s">
        <v>13</v>
      </c>
      <c r="E419483" s="11" t="s">
        <v>14</v>
      </c>
      <c r="F419483" s="9" t="s">
        <v>15</v>
      </c>
      <c r="G419483">
        <v>1</v>
      </c>
      <c r="J419483" s="7">
        <v>4.2969999999999997</v>
      </c>
      <c r="K419483" s="11">
        <v>2026</v>
      </c>
      <c r="L419483" t="s">
        <v>25</v>
      </c>
      <c r="M419483" t="s">
        <v>17</v>
      </c>
    </row>
    <row r="419484" spans="1:13" x14ac:dyDescent="0.25">
      <c r="A419484" s="6">
        <v>46147</v>
      </c>
      <c r="B419484" s="11">
        <v>5</v>
      </c>
      <c r="C419484" s="11">
        <v>19</v>
      </c>
      <c r="D419484" s="5" t="s">
        <v>21</v>
      </c>
      <c r="E419484" s="11" t="s">
        <v>14</v>
      </c>
      <c r="F419484" s="9" t="s">
        <v>22</v>
      </c>
      <c r="G419484">
        <v>1</v>
      </c>
      <c r="J419484" s="7">
        <v>0.53900000000000003</v>
      </c>
      <c r="K419484" s="11">
        <v>2026</v>
      </c>
      <c r="L419484" t="s">
        <v>25</v>
      </c>
      <c r="M419484" t="s">
        <v>17</v>
      </c>
    </row>
    <row r="419485" spans="1:13" x14ac:dyDescent="0.25">
      <c r="A419485" s="6">
        <v>46145.646527777775</v>
      </c>
      <c r="B419485" s="11">
        <v>5</v>
      </c>
      <c r="C419485" s="11">
        <v>19</v>
      </c>
      <c r="D419485" s="5" t="s">
        <v>21</v>
      </c>
      <c r="E419485" s="11" t="s">
        <v>14</v>
      </c>
      <c r="F419485" s="9" t="s">
        <v>22</v>
      </c>
      <c r="G419485">
        <v>1</v>
      </c>
      <c r="J419485" s="7">
        <v>2.5859999999999999</v>
      </c>
      <c r="K419485" s="11">
        <v>2026</v>
      </c>
      <c r="L419485" t="s">
        <v>25</v>
      </c>
      <c r="M419485" t="s">
        <v>17</v>
      </c>
    </row>
    <row r="419486" spans="1:13" x14ac:dyDescent="0.25">
      <c r="A419486" s="6">
        <v>46148.1875</v>
      </c>
      <c r="B419486" s="11">
        <f t="shared" ref="B419486:B419549" si="173">MONTH(A419486)</f>
        <v>5</v>
      </c>
      <c r="C419486" s="11">
        <f t="shared" ref="C419486:C419549" si="174">WEEKNUM(A419486)</f>
        <v>19</v>
      </c>
      <c r="D419486" s="5" t="s">
        <v>18</v>
      </c>
      <c r="E419486" s="11" t="s">
        <v>14</v>
      </c>
      <c r="F419486" s="9" t="s">
        <v>15</v>
      </c>
      <c r="G419486">
        <v>1</v>
      </c>
      <c r="J419486" s="7">
        <v>2.0179999999999998</v>
      </c>
      <c r="K419486" s="11">
        <v>2026</v>
      </c>
      <c r="L419486" t="s">
        <v>25</v>
      </c>
      <c r="M419486" t="s">
        <v>17</v>
      </c>
    </row>
    <row r="419487" spans="1:13" x14ac:dyDescent="0.25">
      <c r="A419487" s="6">
        <v>46154.666666666664</v>
      </c>
      <c r="B419487" s="11">
        <f t="shared" si="173"/>
        <v>5</v>
      </c>
      <c r="C419487" s="11">
        <f t="shared" si="174"/>
        <v>20</v>
      </c>
      <c r="D419487" s="5" t="s">
        <v>18</v>
      </c>
      <c r="E419487" s="11" t="s">
        <v>14</v>
      </c>
      <c r="F419487" s="9" t="s">
        <v>22</v>
      </c>
      <c r="G419487">
        <v>1</v>
      </c>
      <c r="J419487" s="7">
        <v>5.7359999999999998</v>
      </c>
      <c r="K419487" s="11">
        <v>2026</v>
      </c>
      <c r="L419487" t="s">
        <v>16</v>
      </c>
      <c r="M419487" t="s">
        <v>17</v>
      </c>
    </row>
    <row r="419488" spans="1:13" x14ac:dyDescent="0.25">
      <c r="A419488" s="6">
        <v>46156.541666666664</v>
      </c>
      <c r="B419488" s="11">
        <f t="shared" si="173"/>
        <v>5</v>
      </c>
      <c r="C419488" s="11">
        <f t="shared" si="174"/>
        <v>20</v>
      </c>
      <c r="D419488" s="5" t="s">
        <v>18</v>
      </c>
      <c r="E419488" s="11" t="s">
        <v>14</v>
      </c>
      <c r="F419488" s="9" t="s">
        <v>15</v>
      </c>
      <c r="G419488">
        <v>1</v>
      </c>
      <c r="J419488" s="7">
        <v>0.68400000000000005</v>
      </c>
      <c r="K419488" s="11">
        <v>2026</v>
      </c>
      <c r="L419488" t="s">
        <v>16</v>
      </c>
      <c r="M419488" t="s">
        <v>17</v>
      </c>
    </row>
    <row r="419489" spans="1:13" x14ac:dyDescent="0.25">
      <c r="A419489" s="6">
        <v>46156.541666666664</v>
      </c>
      <c r="B419489" s="11">
        <f t="shared" si="173"/>
        <v>5</v>
      </c>
      <c r="C419489" s="11">
        <f t="shared" si="174"/>
        <v>20</v>
      </c>
      <c r="D419489" s="5" t="s">
        <v>18</v>
      </c>
      <c r="E419489" s="11" t="s">
        <v>14</v>
      </c>
      <c r="F419489" s="9" t="s">
        <v>15</v>
      </c>
      <c r="G419489">
        <v>1</v>
      </c>
      <c r="J419489" s="7">
        <v>0.63800000000000001</v>
      </c>
      <c r="K419489" s="11">
        <v>2026</v>
      </c>
      <c r="L419489" t="s">
        <v>16</v>
      </c>
      <c r="M419489" t="s">
        <v>17</v>
      </c>
    </row>
    <row r="419490" spans="1:13" x14ac:dyDescent="0.25">
      <c r="A419490" s="6">
        <v>46156.541666666664</v>
      </c>
      <c r="B419490" s="11">
        <f t="shared" si="173"/>
        <v>5</v>
      </c>
      <c r="C419490" s="11">
        <f t="shared" si="174"/>
        <v>20</v>
      </c>
      <c r="D419490" s="5" t="s">
        <v>18</v>
      </c>
      <c r="E419490" s="11" t="s">
        <v>14</v>
      </c>
      <c r="F419490" s="9" t="s">
        <v>15</v>
      </c>
      <c r="G419490">
        <v>1</v>
      </c>
      <c r="J419490" s="7">
        <v>0.24</v>
      </c>
      <c r="K419490" s="11">
        <v>2026</v>
      </c>
      <c r="L419490" t="s">
        <v>16</v>
      </c>
      <c r="M419490" t="s">
        <v>17</v>
      </c>
    </row>
    <row r="419491" spans="1:13" x14ac:dyDescent="0.25">
      <c r="A419491" s="6">
        <v>46156.541666666664</v>
      </c>
      <c r="B419491" s="11">
        <f t="shared" si="173"/>
        <v>5</v>
      </c>
      <c r="C419491" s="11">
        <f t="shared" si="174"/>
        <v>20</v>
      </c>
      <c r="D419491" s="5" t="s">
        <v>18</v>
      </c>
      <c r="E419491" s="11" t="s">
        <v>14</v>
      </c>
      <c r="F419491" s="9" t="s">
        <v>15</v>
      </c>
      <c r="G419491">
        <v>1</v>
      </c>
      <c r="J419491" s="7">
        <v>0.67200000000000004</v>
      </c>
      <c r="K419491" s="11">
        <v>2026</v>
      </c>
      <c r="L419491" t="s">
        <v>16</v>
      </c>
      <c r="M419491" t="s">
        <v>17</v>
      </c>
    </row>
    <row r="419492" spans="1:13" x14ac:dyDescent="0.25">
      <c r="A419492" s="6">
        <v>46156.541666666664</v>
      </c>
      <c r="B419492" s="11">
        <f t="shared" si="173"/>
        <v>5</v>
      </c>
      <c r="C419492" s="11">
        <f t="shared" si="174"/>
        <v>20</v>
      </c>
      <c r="D419492" s="5" t="s">
        <v>18</v>
      </c>
      <c r="E419492" s="11" t="s">
        <v>14</v>
      </c>
      <c r="F419492" s="9" t="s">
        <v>15</v>
      </c>
      <c r="G419492">
        <v>1</v>
      </c>
      <c r="J419492" s="7">
        <v>0.67200000000000004</v>
      </c>
      <c r="K419492" s="11">
        <v>2026</v>
      </c>
      <c r="L419492" t="s">
        <v>16</v>
      </c>
      <c r="M419492" t="s">
        <v>17</v>
      </c>
    </row>
    <row r="419493" spans="1:13" x14ac:dyDescent="0.25">
      <c r="A419493" s="6">
        <v>46156</v>
      </c>
      <c r="B419493" s="11">
        <f t="shared" si="173"/>
        <v>5</v>
      </c>
      <c r="C419493" s="11">
        <f t="shared" si="174"/>
        <v>20</v>
      </c>
      <c r="D419493" s="5" t="s">
        <v>18</v>
      </c>
      <c r="E419493" s="11" t="s">
        <v>14</v>
      </c>
      <c r="F419493" s="9" t="s">
        <v>22</v>
      </c>
      <c r="G419493">
        <v>1</v>
      </c>
      <c r="J419493" s="7">
        <v>4.7880000000000003</v>
      </c>
      <c r="K419493" s="11">
        <v>2026</v>
      </c>
      <c r="L419493" t="s">
        <v>16</v>
      </c>
      <c r="M419493" t="s">
        <v>17</v>
      </c>
    </row>
    <row r="419494" spans="1:13" x14ac:dyDescent="0.25">
      <c r="A419494" s="6">
        <v>46156</v>
      </c>
      <c r="B419494" s="11">
        <f t="shared" si="173"/>
        <v>5</v>
      </c>
      <c r="C419494" s="11">
        <f t="shared" si="174"/>
        <v>20</v>
      </c>
      <c r="D419494" s="5" t="s">
        <v>18</v>
      </c>
      <c r="E419494" s="11" t="s">
        <v>14</v>
      </c>
      <c r="F419494" s="9" t="s">
        <v>22</v>
      </c>
      <c r="G419494">
        <v>1</v>
      </c>
      <c r="J419494" s="7">
        <v>0.67200000000000004</v>
      </c>
      <c r="K419494" s="11">
        <v>2026</v>
      </c>
      <c r="L419494" t="s">
        <v>16</v>
      </c>
      <c r="M419494" t="s">
        <v>17</v>
      </c>
    </row>
    <row r="419495" spans="1:13" x14ac:dyDescent="0.25">
      <c r="A419495" s="6">
        <v>46156.541666666664</v>
      </c>
      <c r="B419495" s="11">
        <f t="shared" si="173"/>
        <v>5</v>
      </c>
      <c r="C419495" s="11">
        <f t="shared" si="174"/>
        <v>20</v>
      </c>
      <c r="D419495" s="5" t="s">
        <v>18</v>
      </c>
      <c r="E419495" s="11" t="s">
        <v>14</v>
      </c>
      <c r="F419495" s="9" t="s">
        <v>15</v>
      </c>
      <c r="G419495">
        <v>1</v>
      </c>
      <c r="J419495" s="7">
        <v>0.877</v>
      </c>
      <c r="K419495" s="11">
        <v>2026</v>
      </c>
      <c r="L419495" t="s">
        <v>16</v>
      </c>
      <c r="M419495" t="s">
        <v>17</v>
      </c>
    </row>
    <row r="419496" spans="1:13" x14ac:dyDescent="0.25">
      <c r="A419496" s="6">
        <v>46156.541666666664</v>
      </c>
      <c r="B419496" s="11">
        <f t="shared" si="173"/>
        <v>5</v>
      </c>
      <c r="C419496" s="11">
        <f t="shared" si="174"/>
        <v>20</v>
      </c>
      <c r="D419496" s="5" t="s">
        <v>18</v>
      </c>
      <c r="E419496" s="11" t="s">
        <v>14</v>
      </c>
      <c r="F419496" s="9" t="s">
        <v>15</v>
      </c>
      <c r="G419496">
        <v>1</v>
      </c>
      <c r="J419496" s="7">
        <v>0.33100000000000002</v>
      </c>
      <c r="K419496" s="11">
        <v>2026</v>
      </c>
      <c r="L419496" t="s">
        <v>16</v>
      </c>
      <c r="M419496" t="s">
        <v>17</v>
      </c>
    </row>
    <row r="419497" spans="1:13" x14ac:dyDescent="0.25">
      <c r="A419497" s="6">
        <v>46153.416666666664</v>
      </c>
      <c r="B419497" s="11">
        <f t="shared" si="173"/>
        <v>5</v>
      </c>
      <c r="C419497" s="11">
        <f t="shared" si="174"/>
        <v>20</v>
      </c>
      <c r="D419497" s="5" t="s">
        <v>18</v>
      </c>
      <c r="E419497" s="11" t="s">
        <v>14</v>
      </c>
      <c r="F419497" s="9" t="s">
        <v>15</v>
      </c>
      <c r="G419497">
        <v>1</v>
      </c>
      <c r="J419497" s="7">
        <v>1.8</v>
      </c>
      <c r="K419497" s="11">
        <v>2026</v>
      </c>
      <c r="L419497" t="s">
        <v>16</v>
      </c>
      <c r="M419497" t="s">
        <v>17</v>
      </c>
    </row>
    <row r="419498" spans="1:13" x14ac:dyDescent="0.25">
      <c r="A419498" s="6">
        <v>46153.958333333336</v>
      </c>
      <c r="B419498" s="11">
        <f t="shared" si="173"/>
        <v>5</v>
      </c>
      <c r="C419498" s="11">
        <f t="shared" si="174"/>
        <v>20</v>
      </c>
      <c r="D419498" s="5" t="s">
        <v>18</v>
      </c>
      <c r="E419498" s="11" t="s">
        <v>14</v>
      </c>
      <c r="F419498" s="9" t="s">
        <v>22</v>
      </c>
      <c r="G419498">
        <v>1</v>
      </c>
      <c r="J419498" s="7">
        <v>0.65700000000000003</v>
      </c>
      <c r="K419498" s="11">
        <v>2026</v>
      </c>
      <c r="L419498" t="s">
        <v>16</v>
      </c>
      <c r="M419498" t="s">
        <v>17</v>
      </c>
    </row>
    <row r="419499" spans="1:13" x14ac:dyDescent="0.25">
      <c r="A419499" s="6">
        <v>46156.541666666664</v>
      </c>
      <c r="B419499" s="11">
        <f t="shared" si="173"/>
        <v>5</v>
      </c>
      <c r="C419499" s="11">
        <f t="shared" si="174"/>
        <v>20</v>
      </c>
      <c r="D419499" s="5" t="s">
        <v>18</v>
      </c>
      <c r="E419499" s="11" t="s">
        <v>14</v>
      </c>
      <c r="F419499" s="9" t="s">
        <v>15</v>
      </c>
      <c r="G419499">
        <v>1</v>
      </c>
      <c r="J419499" s="7">
        <v>1.333</v>
      </c>
      <c r="K419499" s="11">
        <v>2026</v>
      </c>
      <c r="L419499" t="s">
        <v>16</v>
      </c>
      <c r="M419499" t="s">
        <v>17</v>
      </c>
    </row>
    <row r="419500" spans="1:13" x14ac:dyDescent="0.25">
      <c r="A419500" s="6">
        <v>46156.541666666664</v>
      </c>
      <c r="B419500" s="11">
        <f t="shared" si="173"/>
        <v>5</v>
      </c>
      <c r="C419500" s="11">
        <f t="shared" si="174"/>
        <v>20</v>
      </c>
      <c r="D419500" s="5" t="s">
        <v>18</v>
      </c>
      <c r="E419500" s="11" t="s">
        <v>14</v>
      </c>
      <c r="F419500" s="9" t="s">
        <v>15</v>
      </c>
      <c r="G419500">
        <v>1</v>
      </c>
      <c r="J419500" s="7">
        <v>1.3440000000000001</v>
      </c>
      <c r="K419500" s="11">
        <v>2026</v>
      </c>
      <c r="L419500" t="s">
        <v>16</v>
      </c>
      <c r="M419500" t="s">
        <v>17</v>
      </c>
    </row>
    <row r="419501" spans="1:13" x14ac:dyDescent="0.25">
      <c r="A419501" s="6">
        <v>46154.666666666664</v>
      </c>
      <c r="B419501" s="11">
        <f t="shared" si="173"/>
        <v>5</v>
      </c>
      <c r="C419501" s="11">
        <f t="shared" si="174"/>
        <v>20</v>
      </c>
      <c r="D419501" s="5" t="s">
        <v>18</v>
      </c>
      <c r="E419501" s="11" t="s">
        <v>14</v>
      </c>
      <c r="F419501" s="9" t="s">
        <v>22</v>
      </c>
      <c r="G419501">
        <v>1</v>
      </c>
      <c r="J419501" s="7">
        <v>3.96</v>
      </c>
      <c r="K419501" s="11">
        <v>2026</v>
      </c>
      <c r="L419501" t="s">
        <v>16</v>
      </c>
      <c r="M419501" t="s">
        <v>17</v>
      </c>
    </row>
    <row r="419502" spans="1:13" x14ac:dyDescent="0.25">
      <c r="A419502" s="6">
        <v>46152</v>
      </c>
      <c r="B419502" s="11">
        <f t="shared" si="173"/>
        <v>5</v>
      </c>
      <c r="C419502" s="11">
        <f t="shared" si="174"/>
        <v>20</v>
      </c>
      <c r="D419502" s="5" t="s">
        <v>18</v>
      </c>
      <c r="E419502" s="11" t="s">
        <v>14</v>
      </c>
      <c r="F419502" s="9" t="s">
        <v>22</v>
      </c>
      <c r="G419502">
        <v>1</v>
      </c>
      <c r="J419502" s="7">
        <v>1.1120000000000001</v>
      </c>
      <c r="K419502" s="11">
        <v>2026</v>
      </c>
      <c r="L419502" t="s">
        <v>16</v>
      </c>
      <c r="M419502" t="s">
        <v>17</v>
      </c>
    </row>
    <row r="419503" spans="1:13" x14ac:dyDescent="0.25">
      <c r="A419503" s="6">
        <v>46156.541666666664</v>
      </c>
      <c r="B419503" s="11">
        <f t="shared" si="173"/>
        <v>5</v>
      </c>
      <c r="C419503" s="11">
        <f t="shared" si="174"/>
        <v>20</v>
      </c>
      <c r="D419503" s="5" t="s">
        <v>18</v>
      </c>
      <c r="E419503" s="11" t="s">
        <v>14</v>
      </c>
      <c r="F419503" s="9" t="s">
        <v>15</v>
      </c>
      <c r="G419503">
        <v>1</v>
      </c>
      <c r="J419503" s="7">
        <v>3.96</v>
      </c>
      <c r="K419503" s="11">
        <v>2026</v>
      </c>
      <c r="L419503" t="s">
        <v>16</v>
      </c>
      <c r="M419503" t="s">
        <v>17</v>
      </c>
    </row>
    <row r="419504" spans="1:13" x14ac:dyDescent="0.25">
      <c r="A419504" s="6">
        <v>46156.541666666664</v>
      </c>
      <c r="B419504" s="11">
        <f t="shared" si="173"/>
        <v>5</v>
      </c>
      <c r="C419504" s="11">
        <f t="shared" si="174"/>
        <v>20</v>
      </c>
      <c r="D419504" s="5" t="s">
        <v>18</v>
      </c>
      <c r="E419504" s="11" t="s">
        <v>14</v>
      </c>
      <c r="F419504" s="9" t="s">
        <v>15</v>
      </c>
      <c r="G419504">
        <v>1</v>
      </c>
      <c r="J419504" s="7">
        <v>0.996</v>
      </c>
      <c r="K419504" s="11">
        <v>2026</v>
      </c>
      <c r="L419504" t="s">
        <v>16</v>
      </c>
      <c r="M419504" t="s">
        <v>17</v>
      </c>
    </row>
    <row r="419505" spans="1:13" x14ac:dyDescent="0.25">
      <c r="A419505" s="6">
        <v>46156.541666666664</v>
      </c>
      <c r="B419505" s="11">
        <f t="shared" si="173"/>
        <v>5</v>
      </c>
      <c r="C419505" s="11">
        <f t="shared" si="174"/>
        <v>20</v>
      </c>
      <c r="D419505" s="5" t="s">
        <v>18</v>
      </c>
      <c r="E419505" s="11" t="s">
        <v>14</v>
      </c>
      <c r="F419505" s="9" t="s">
        <v>15</v>
      </c>
      <c r="G419505">
        <v>1</v>
      </c>
      <c r="J419505" s="7">
        <v>4.8</v>
      </c>
      <c r="K419505" s="11">
        <v>2026</v>
      </c>
      <c r="L419505" t="s">
        <v>16</v>
      </c>
      <c r="M419505" t="s">
        <v>17</v>
      </c>
    </row>
    <row r="419506" spans="1:13" x14ac:dyDescent="0.25">
      <c r="A419506" s="6">
        <v>46154.131944444445</v>
      </c>
      <c r="B419506" s="11">
        <f t="shared" si="173"/>
        <v>5</v>
      </c>
      <c r="C419506" s="11">
        <f t="shared" si="174"/>
        <v>20</v>
      </c>
      <c r="D419506" s="5" t="s">
        <v>18</v>
      </c>
      <c r="E419506" s="11" t="s">
        <v>14</v>
      </c>
      <c r="F419506" s="9" t="s">
        <v>22</v>
      </c>
      <c r="G419506">
        <v>1</v>
      </c>
      <c r="J419506" s="7">
        <v>12.6</v>
      </c>
      <c r="K419506" s="11">
        <v>2026</v>
      </c>
      <c r="L419506" t="s">
        <v>16</v>
      </c>
      <c r="M419506" t="s">
        <v>17</v>
      </c>
    </row>
    <row r="419507" spans="1:13" x14ac:dyDescent="0.25">
      <c r="A419507" s="6">
        <v>46156.416666666664</v>
      </c>
      <c r="B419507" s="11">
        <f t="shared" si="173"/>
        <v>5</v>
      </c>
      <c r="C419507" s="11">
        <f t="shared" si="174"/>
        <v>20</v>
      </c>
      <c r="D419507" s="5" t="s">
        <v>18</v>
      </c>
      <c r="E419507" s="11" t="s">
        <v>14</v>
      </c>
      <c r="F419507" s="9" t="s">
        <v>22</v>
      </c>
      <c r="G419507">
        <v>1</v>
      </c>
      <c r="J419507" s="7">
        <v>0.61399999999999999</v>
      </c>
      <c r="K419507" s="11">
        <v>2026</v>
      </c>
      <c r="L419507" t="s">
        <v>16</v>
      </c>
      <c r="M419507" t="s">
        <v>17</v>
      </c>
    </row>
    <row r="419508" spans="1:13" x14ac:dyDescent="0.25">
      <c r="A419508" s="6">
        <v>46153.416666666664</v>
      </c>
      <c r="B419508" s="11">
        <f t="shared" si="173"/>
        <v>5</v>
      </c>
      <c r="C419508" s="11">
        <f t="shared" si="174"/>
        <v>20</v>
      </c>
      <c r="D419508" s="5" t="s">
        <v>18</v>
      </c>
      <c r="E419508" s="11" t="s">
        <v>14</v>
      </c>
      <c r="F419508" s="9" t="s">
        <v>15</v>
      </c>
      <c r="G419508">
        <v>1</v>
      </c>
      <c r="J419508" s="7">
        <v>2.6139999999999999</v>
      </c>
      <c r="K419508" s="11">
        <v>2026</v>
      </c>
      <c r="L419508" t="s">
        <v>16</v>
      </c>
      <c r="M419508" t="s">
        <v>17</v>
      </c>
    </row>
    <row r="419509" spans="1:13" x14ac:dyDescent="0.25">
      <c r="A419509" s="6">
        <v>46156</v>
      </c>
      <c r="B419509" s="11">
        <f t="shared" si="173"/>
        <v>5</v>
      </c>
      <c r="C419509" s="11">
        <f t="shared" si="174"/>
        <v>20</v>
      </c>
      <c r="D419509" s="5" t="s">
        <v>18</v>
      </c>
      <c r="E419509" s="11" t="s">
        <v>14</v>
      </c>
      <c r="F419509" s="9" t="s">
        <v>22</v>
      </c>
      <c r="G419509">
        <v>1</v>
      </c>
      <c r="J419509" s="7">
        <v>3.36</v>
      </c>
      <c r="K419509" s="11">
        <v>2026</v>
      </c>
      <c r="L419509" t="s">
        <v>16</v>
      </c>
      <c r="M419509" t="s">
        <v>17</v>
      </c>
    </row>
    <row r="419510" spans="1:13" x14ac:dyDescent="0.25">
      <c r="A419510" s="6">
        <v>46156</v>
      </c>
      <c r="B419510" s="11">
        <f t="shared" si="173"/>
        <v>5</v>
      </c>
      <c r="C419510" s="11">
        <f t="shared" si="174"/>
        <v>20</v>
      </c>
      <c r="D419510" s="5" t="s">
        <v>18</v>
      </c>
      <c r="E419510" s="11" t="s">
        <v>14</v>
      </c>
      <c r="F419510" s="9" t="s">
        <v>22</v>
      </c>
      <c r="G419510">
        <v>1</v>
      </c>
      <c r="J419510" s="7">
        <v>0.67200000000000004</v>
      </c>
      <c r="K419510" s="11">
        <v>2026</v>
      </c>
      <c r="L419510" t="s">
        <v>16</v>
      </c>
      <c r="M419510" t="s">
        <v>17</v>
      </c>
    </row>
    <row r="419511" spans="1:13" x14ac:dyDescent="0.25">
      <c r="A419511" s="6">
        <v>46154.666666666664</v>
      </c>
      <c r="B419511" s="11">
        <f t="shared" si="173"/>
        <v>5</v>
      </c>
      <c r="C419511" s="11">
        <f t="shared" si="174"/>
        <v>20</v>
      </c>
      <c r="D419511" s="5" t="s">
        <v>18</v>
      </c>
      <c r="E419511" s="11" t="s">
        <v>14</v>
      </c>
      <c r="F419511" s="9" t="s">
        <v>15</v>
      </c>
      <c r="G419511">
        <v>1</v>
      </c>
      <c r="J419511" s="7">
        <v>7.26</v>
      </c>
      <c r="K419511" s="11">
        <v>2026</v>
      </c>
      <c r="L419511" t="s">
        <v>16</v>
      </c>
      <c r="M419511" t="s">
        <v>17</v>
      </c>
    </row>
    <row r="419512" spans="1:13" x14ac:dyDescent="0.25">
      <c r="A419512" s="6">
        <v>46156.541666666664</v>
      </c>
      <c r="B419512" s="11">
        <f t="shared" si="173"/>
        <v>5</v>
      </c>
      <c r="C419512" s="11">
        <f t="shared" si="174"/>
        <v>20</v>
      </c>
      <c r="D419512" s="5" t="s">
        <v>18</v>
      </c>
      <c r="E419512" s="11" t="s">
        <v>14</v>
      </c>
      <c r="F419512" s="9" t="s">
        <v>15</v>
      </c>
      <c r="G419512">
        <v>1</v>
      </c>
      <c r="J419512" s="7">
        <v>2.0880000000000001</v>
      </c>
      <c r="K419512" s="11">
        <v>2026</v>
      </c>
      <c r="L419512" t="s">
        <v>16</v>
      </c>
      <c r="M419512" t="s">
        <v>17</v>
      </c>
    </row>
    <row r="419513" spans="1:13" x14ac:dyDescent="0.25">
      <c r="A419513" s="6">
        <v>46156.541666666664</v>
      </c>
      <c r="B419513" s="11">
        <f t="shared" si="173"/>
        <v>5</v>
      </c>
      <c r="C419513" s="11">
        <f t="shared" si="174"/>
        <v>20</v>
      </c>
      <c r="D419513" s="5" t="s">
        <v>18</v>
      </c>
      <c r="E419513" s="11" t="s">
        <v>14</v>
      </c>
      <c r="F419513" s="9" t="s">
        <v>15</v>
      </c>
      <c r="G419513">
        <v>1</v>
      </c>
      <c r="J419513" s="7">
        <v>2.4809999999999999</v>
      </c>
      <c r="K419513" s="11">
        <v>2026</v>
      </c>
      <c r="L419513" t="s">
        <v>16</v>
      </c>
      <c r="M419513" t="s">
        <v>17</v>
      </c>
    </row>
    <row r="419514" spans="1:13" x14ac:dyDescent="0.25">
      <c r="A419514" s="6">
        <v>46156.541666666664</v>
      </c>
      <c r="B419514" s="11">
        <f t="shared" si="173"/>
        <v>5</v>
      </c>
      <c r="C419514" s="11">
        <f t="shared" si="174"/>
        <v>20</v>
      </c>
      <c r="D419514" s="5" t="s">
        <v>18</v>
      </c>
      <c r="E419514" s="11" t="s">
        <v>14</v>
      </c>
      <c r="F419514" s="9" t="s">
        <v>15</v>
      </c>
      <c r="G419514">
        <v>1</v>
      </c>
      <c r="J419514" s="7">
        <v>4.7039999999999997</v>
      </c>
      <c r="K419514" s="11">
        <v>2026</v>
      </c>
      <c r="L419514" t="s">
        <v>16</v>
      </c>
      <c r="M419514" t="s">
        <v>17</v>
      </c>
    </row>
    <row r="419515" spans="1:13" x14ac:dyDescent="0.25">
      <c r="A419515" s="6">
        <v>46156.541666666664</v>
      </c>
      <c r="B419515" s="11">
        <f t="shared" si="173"/>
        <v>5</v>
      </c>
      <c r="C419515" s="11">
        <f t="shared" si="174"/>
        <v>20</v>
      </c>
      <c r="D419515" s="5" t="s">
        <v>18</v>
      </c>
      <c r="E419515" s="11" t="s">
        <v>14</v>
      </c>
      <c r="F419515" s="9" t="s">
        <v>15</v>
      </c>
      <c r="G419515">
        <v>1</v>
      </c>
      <c r="J419515" s="7">
        <v>4.7039999999999997</v>
      </c>
      <c r="K419515" s="11">
        <v>2026</v>
      </c>
      <c r="L419515" t="s">
        <v>16</v>
      </c>
      <c r="M419515" t="s">
        <v>17</v>
      </c>
    </row>
    <row r="419516" spans="1:13" x14ac:dyDescent="0.25">
      <c r="A419516" s="6">
        <v>46156.541666666664</v>
      </c>
      <c r="B419516" s="11">
        <f t="shared" si="173"/>
        <v>5</v>
      </c>
      <c r="C419516" s="11">
        <f t="shared" si="174"/>
        <v>20</v>
      </c>
      <c r="D419516" s="5" t="s">
        <v>18</v>
      </c>
      <c r="E419516" s="11" t="s">
        <v>14</v>
      </c>
      <c r="F419516" s="9" t="s">
        <v>15</v>
      </c>
      <c r="G419516">
        <v>1</v>
      </c>
      <c r="J419516" s="7">
        <v>4.7039999999999997</v>
      </c>
      <c r="K419516" s="11">
        <v>2026</v>
      </c>
      <c r="L419516" t="s">
        <v>16</v>
      </c>
      <c r="M419516" t="s">
        <v>17</v>
      </c>
    </row>
    <row r="419517" spans="1:13" x14ac:dyDescent="0.25">
      <c r="A419517" s="6">
        <v>46156.541666666664</v>
      </c>
      <c r="B419517" s="11">
        <f t="shared" si="173"/>
        <v>5</v>
      </c>
      <c r="C419517" s="11">
        <f t="shared" si="174"/>
        <v>20</v>
      </c>
      <c r="D419517" s="5" t="s">
        <v>18</v>
      </c>
      <c r="E419517" s="11" t="s">
        <v>14</v>
      </c>
      <c r="F419517" s="9" t="s">
        <v>15</v>
      </c>
      <c r="G419517">
        <v>1</v>
      </c>
      <c r="J419517" s="7">
        <v>9.4079999999999995</v>
      </c>
      <c r="K419517" s="11">
        <v>2026</v>
      </c>
      <c r="L419517" t="s">
        <v>16</v>
      </c>
      <c r="M419517" t="s">
        <v>17</v>
      </c>
    </row>
    <row r="419518" spans="1:13" x14ac:dyDescent="0.25">
      <c r="A419518" s="6">
        <v>46156</v>
      </c>
      <c r="B419518" s="11">
        <f t="shared" si="173"/>
        <v>5</v>
      </c>
      <c r="C419518" s="11">
        <f t="shared" si="174"/>
        <v>20</v>
      </c>
      <c r="D419518" s="5" t="s">
        <v>18</v>
      </c>
      <c r="E419518" s="11" t="s">
        <v>14</v>
      </c>
      <c r="F419518" s="9" t="s">
        <v>22</v>
      </c>
      <c r="G419518">
        <v>1</v>
      </c>
      <c r="J419518" s="7">
        <v>0.67200000000000004</v>
      </c>
      <c r="K419518" s="11">
        <v>2026</v>
      </c>
      <c r="L419518" t="s">
        <v>16</v>
      </c>
      <c r="M419518" t="s">
        <v>17</v>
      </c>
    </row>
    <row r="419519" spans="1:13" x14ac:dyDescent="0.25">
      <c r="A419519" s="6">
        <v>46156</v>
      </c>
      <c r="B419519" s="11">
        <f t="shared" si="173"/>
        <v>5</v>
      </c>
      <c r="C419519" s="11">
        <f t="shared" si="174"/>
        <v>20</v>
      </c>
      <c r="D419519" s="5" t="s">
        <v>18</v>
      </c>
      <c r="E419519" s="11" t="s">
        <v>14</v>
      </c>
      <c r="F419519" s="9" t="s">
        <v>22</v>
      </c>
      <c r="G419519">
        <v>1</v>
      </c>
      <c r="J419519" s="7">
        <v>2.7240000000000002</v>
      </c>
      <c r="K419519" s="11">
        <v>2026</v>
      </c>
      <c r="L419519" t="s">
        <v>16</v>
      </c>
      <c r="M419519" t="s">
        <v>17</v>
      </c>
    </row>
    <row r="419520" spans="1:13" x14ac:dyDescent="0.25">
      <c r="A419520" s="6">
        <v>46156.541666666664</v>
      </c>
      <c r="B419520" s="11">
        <f t="shared" si="173"/>
        <v>5</v>
      </c>
      <c r="C419520" s="11">
        <f t="shared" si="174"/>
        <v>20</v>
      </c>
      <c r="D419520" s="5" t="s">
        <v>18</v>
      </c>
      <c r="E419520" s="11" t="s">
        <v>14</v>
      </c>
      <c r="F419520" s="9" t="s">
        <v>15</v>
      </c>
      <c r="G419520">
        <v>1</v>
      </c>
      <c r="J419520" s="7">
        <v>1.5880000000000001</v>
      </c>
      <c r="K419520" s="11">
        <v>2026</v>
      </c>
      <c r="L419520" t="s">
        <v>16</v>
      </c>
      <c r="M419520" t="s">
        <v>17</v>
      </c>
    </row>
    <row r="419521" spans="1:13" x14ac:dyDescent="0.25">
      <c r="A419521" s="6">
        <v>46156.166666666664</v>
      </c>
      <c r="B419521" s="11">
        <f t="shared" si="173"/>
        <v>5</v>
      </c>
      <c r="C419521" s="11">
        <f t="shared" si="174"/>
        <v>20</v>
      </c>
      <c r="D419521" s="5" t="s">
        <v>18</v>
      </c>
      <c r="E419521" s="11" t="s">
        <v>14</v>
      </c>
      <c r="F419521" s="9" t="s">
        <v>22</v>
      </c>
      <c r="G419521">
        <v>1</v>
      </c>
      <c r="J419521" s="7">
        <v>3.1920000000000002</v>
      </c>
      <c r="K419521" s="11">
        <v>2026</v>
      </c>
      <c r="L419521" t="s">
        <v>16</v>
      </c>
      <c r="M419521" t="s">
        <v>17</v>
      </c>
    </row>
    <row r="419522" spans="1:13" x14ac:dyDescent="0.25">
      <c r="A419522" s="6">
        <v>46154.666666666664</v>
      </c>
      <c r="B419522" s="11">
        <f t="shared" si="173"/>
        <v>5</v>
      </c>
      <c r="C419522" s="11">
        <f t="shared" si="174"/>
        <v>20</v>
      </c>
      <c r="D419522" s="5" t="s">
        <v>18</v>
      </c>
      <c r="E419522" s="11" t="s">
        <v>14</v>
      </c>
      <c r="F419522" s="9" t="s">
        <v>15</v>
      </c>
      <c r="G419522">
        <v>1</v>
      </c>
      <c r="J419522" s="7">
        <v>1.1399999999999999</v>
      </c>
      <c r="K419522" s="11">
        <v>2026</v>
      </c>
      <c r="L419522" t="s">
        <v>16</v>
      </c>
      <c r="M419522" t="s">
        <v>17</v>
      </c>
    </row>
    <row r="419523" spans="1:13" x14ac:dyDescent="0.25">
      <c r="A419523" s="6">
        <v>46154.666666666664</v>
      </c>
      <c r="B419523" s="11">
        <f t="shared" si="173"/>
        <v>5</v>
      </c>
      <c r="C419523" s="11">
        <f t="shared" si="174"/>
        <v>20</v>
      </c>
      <c r="D419523" s="5" t="s">
        <v>18</v>
      </c>
      <c r="E419523" s="11" t="s">
        <v>14</v>
      </c>
      <c r="F419523" s="9" t="s">
        <v>15</v>
      </c>
      <c r="G419523">
        <v>1</v>
      </c>
      <c r="J419523" s="7">
        <v>7.8810000000000002</v>
      </c>
      <c r="K419523" s="11">
        <v>2026</v>
      </c>
      <c r="L419523" t="s">
        <v>16</v>
      </c>
      <c r="M419523" t="s">
        <v>17</v>
      </c>
    </row>
    <row r="419524" spans="1:13" x14ac:dyDescent="0.25">
      <c r="A419524" s="6">
        <v>46153.416666666664</v>
      </c>
      <c r="B419524" s="11">
        <f t="shared" si="173"/>
        <v>5</v>
      </c>
      <c r="C419524" s="11">
        <f t="shared" si="174"/>
        <v>20</v>
      </c>
      <c r="D419524" s="5" t="s">
        <v>18</v>
      </c>
      <c r="E419524" s="11" t="s">
        <v>14</v>
      </c>
      <c r="F419524" s="9" t="s">
        <v>15</v>
      </c>
      <c r="G419524">
        <v>1</v>
      </c>
      <c r="J419524" s="7">
        <v>0.76</v>
      </c>
      <c r="K419524" s="11">
        <v>2026</v>
      </c>
      <c r="L419524" t="s">
        <v>16</v>
      </c>
      <c r="M419524" t="s">
        <v>17</v>
      </c>
    </row>
    <row r="419525" spans="1:13" x14ac:dyDescent="0.25">
      <c r="A419525" s="6">
        <v>46153.416666666664</v>
      </c>
      <c r="B419525" s="11">
        <f t="shared" si="173"/>
        <v>5</v>
      </c>
      <c r="C419525" s="11">
        <f t="shared" si="174"/>
        <v>20</v>
      </c>
      <c r="D419525" s="5" t="s">
        <v>18</v>
      </c>
      <c r="E419525" s="11" t="s">
        <v>14</v>
      </c>
      <c r="F419525" s="9" t="s">
        <v>15</v>
      </c>
      <c r="G419525">
        <v>1</v>
      </c>
      <c r="J419525" s="7">
        <v>1.5</v>
      </c>
      <c r="K419525" s="11">
        <v>2026</v>
      </c>
      <c r="L419525" t="s">
        <v>16</v>
      </c>
      <c r="M419525" t="s">
        <v>17</v>
      </c>
    </row>
    <row r="419526" spans="1:13" x14ac:dyDescent="0.25">
      <c r="A419526" s="6">
        <v>46153.416666666664</v>
      </c>
      <c r="B419526" s="11">
        <f t="shared" si="173"/>
        <v>5</v>
      </c>
      <c r="C419526" s="11">
        <f t="shared" si="174"/>
        <v>20</v>
      </c>
      <c r="D419526" s="5" t="s">
        <v>18</v>
      </c>
      <c r="E419526" s="11" t="s">
        <v>14</v>
      </c>
      <c r="F419526" s="9" t="s">
        <v>15</v>
      </c>
      <c r="G419526">
        <v>1</v>
      </c>
      <c r="J419526" s="7">
        <v>4.3</v>
      </c>
      <c r="K419526" s="11">
        <v>2026</v>
      </c>
      <c r="L419526" t="s">
        <v>16</v>
      </c>
      <c r="M419526" t="s">
        <v>17</v>
      </c>
    </row>
    <row r="419527" spans="1:13" x14ac:dyDescent="0.25">
      <c r="A419527" s="6">
        <v>46156.541666666664</v>
      </c>
      <c r="B419527" s="11">
        <f t="shared" si="173"/>
        <v>5</v>
      </c>
      <c r="C419527" s="11">
        <f t="shared" si="174"/>
        <v>20</v>
      </c>
      <c r="D419527" s="5" t="s">
        <v>18</v>
      </c>
      <c r="E419527" s="11" t="s">
        <v>14</v>
      </c>
      <c r="F419527" s="9" t="s">
        <v>15</v>
      </c>
      <c r="G419527">
        <v>1</v>
      </c>
      <c r="J419527" s="7">
        <v>0.66200000000000003</v>
      </c>
      <c r="K419527" s="11">
        <v>2026</v>
      </c>
      <c r="L419527" t="s">
        <v>16</v>
      </c>
      <c r="M419527" t="s">
        <v>17</v>
      </c>
    </row>
    <row r="419528" spans="1:13" x14ac:dyDescent="0.25">
      <c r="A419528" s="6">
        <v>46156.541666666664</v>
      </c>
      <c r="B419528" s="11">
        <f t="shared" si="173"/>
        <v>5</v>
      </c>
      <c r="C419528" s="11">
        <f t="shared" si="174"/>
        <v>20</v>
      </c>
      <c r="D419528" s="5" t="s">
        <v>18</v>
      </c>
      <c r="E419528" s="11" t="s">
        <v>14</v>
      </c>
      <c r="F419528" s="9" t="s">
        <v>15</v>
      </c>
      <c r="G419528">
        <v>1</v>
      </c>
      <c r="J419528" s="7">
        <v>0.873</v>
      </c>
      <c r="K419528" s="11">
        <v>2026</v>
      </c>
      <c r="L419528" t="s">
        <v>16</v>
      </c>
      <c r="M419528" t="s">
        <v>17</v>
      </c>
    </row>
    <row r="419529" spans="1:13" x14ac:dyDescent="0.25">
      <c r="A419529" s="6">
        <v>46154.666666666664</v>
      </c>
      <c r="B419529" s="11">
        <f t="shared" si="173"/>
        <v>5</v>
      </c>
      <c r="C419529" s="11">
        <f t="shared" si="174"/>
        <v>20</v>
      </c>
      <c r="D419529" s="5" t="s">
        <v>18</v>
      </c>
      <c r="E419529" s="11" t="s">
        <v>14</v>
      </c>
      <c r="F419529" s="9" t="s">
        <v>15</v>
      </c>
      <c r="G419529">
        <v>1</v>
      </c>
      <c r="J419529" s="7">
        <v>9.0210000000000008</v>
      </c>
      <c r="K419529" s="11">
        <v>2026</v>
      </c>
      <c r="L419529" t="s">
        <v>16</v>
      </c>
      <c r="M419529" t="s">
        <v>17</v>
      </c>
    </row>
    <row r="419530" spans="1:13" x14ac:dyDescent="0.25">
      <c r="A419530" s="6">
        <v>46153.416666666664</v>
      </c>
      <c r="B419530" s="11">
        <f t="shared" si="173"/>
        <v>5</v>
      </c>
      <c r="C419530" s="11">
        <f t="shared" si="174"/>
        <v>20</v>
      </c>
      <c r="D419530" s="5" t="s">
        <v>18</v>
      </c>
      <c r="E419530" s="11" t="s">
        <v>14</v>
      </c>
      <c r="F419530" s="9" t="s">
        <v>15</v>
      </c>
      <c r="G419530">
        <v>1</v>
      </c>
      <c r="J419530" s="7">
        <v>0.66</v>
      </c>
      <c r="K419530" s="11">
        <v>2026</v>
      </c>
      <c r="L419530" t="s">
        <v>16</v>
      </c>
      <c r="M419530" t="s">
        <v>17</v>
      </c>
    </row>
    <row r="419531" spans="1:13" x14ac:dyDescent="0.25">
      <c r="A419531" s="6">
        <v>46153.416666666664</v>
      </c>
      <c r="B419531" s="11">
        <f t="shared" si="173"/>
        <v>5</v>
      </c>
      <c r="C419531" s="11">
        <f t="shared" si="174"/>
        <v>20</v>
      </c>
      <c r="D419531" s="5" t="s">
        <v>18</v>
      </c>
      <c r="E419531" s="11" t="s">
        <v>14</v>
      </c>
      <c r="F419531" s="9" t="s">
        <v>15</v>
      </c>
      <c r="G419531">
        <v>1</v>
      </c>
      <c r="J419531" s="7">
        <v>2.21</v>
      </c>
      <c r="K419531" s="11">
        <v>2026</v>
      </c>
      <c r="L419531" t="s">
        <v>16</v>
      </c>
      <c r="M419531" t="s">
        <v>17</v>
      </c>
    </row>
    <row r="419532" spans="1:13" x14ac:dyDescent="0.25">
      <c r="A419532" s="6">
        <v>46153.416666666664</v>
      </c>
      <c r="B419532" s="11">
        <f t="shared" si="173"/>
        <v>5</v>
      </c>
      <c r="C419532" s="11">
        <f t="shared" si="174"/>
        <v>20</v>
      </c>
      <c r="D419532" s="5" t="s">
        <v>18</v>
      </c>
      <c r="E419532" s="11" t="s">
        <v>14</v>
      </c>
      <c r="F419532" s="9" t="s">
        <v>15</v>
      </c>
      <c r="G419532">
        <v>1</v>
      </c>
      <c r="J419532" s="7">
        <v>0.68</v>
      </c>
      <c r="K419532" s="11">
        <v>2026</v>
      </c>
      <c r="L419532" t="s">
        <v>16</v>
      </c>
      <c r="M419532" t="s">
        <v>17</v>
      </c>
    </row>
    <row r="419533" spans="1:13" x14ac:dyDescent="0.25">
      <c r="A419533" s="6">
        <v>46153.416666666664</v>
      </c>
      <c r="B419533" s="11">
        <f t="shared" si="173"/>
        <v>5</v>
      </c>
      <c r="C419533" s="11">
        <f t="shared" si="174"/>
        <v>20</v>
      </c>
      <c r="D419533" s="5" t="s">
        <v>18</v>
      </c>
      <c r="E419533" s="11" t="s">
        <v>14</v>
      </c>
      <c r="F419533" s="9" t="s">
        <v>15</v>
      </c>
      <c r="G419533">
        <v>1</v>
      </c>
      <c r="J419533" s="7">
        <v>0.36</v>
      </c>
      <c r="K419533" s="11">
        <v>2026</v>
      </c>
      <c r="L419533" t="s">
        <v>16</v>
      </c>
      <c r="M419533" t="s">
        <v>17</v>
      </c>
    </row>
    <row r="419534" spans="1:13" x14ac:dyDescent="0.25">
      <c r="A419534" s="6">
        <v>46153.416666666664</v>
      </c>
      <c r="B419534" s="11">
        <f t="shared" si="173"/>
        <v>5</v>
      </c>
      <c r="C419534" s="11">
        <f t="shared" si="174"/>
        <v>20</v>
      </c>
      <c r="D419534" s="5" t="s">
        <v>18</v>
      </c>
      <c r="E419534" s="11" t="s">
        <v>14</v>
      </c>
      <c r="F419534" s="9" t="s">
        <v>15</v>
      </c>
      <c r="G419534">
        <v>1</v>
      </c>
      <c r="J419534" s="7">
        <v>0.81</v>
      </c>
      <c r="K419534" s="11">
        <v>2026</v>
      </c>
      <c r="L419534" t="s">
        <v>16</v>
      </c>
      <c r="M419534" t="s">
        <v>17</v>
      </c>
    </row>
    <row r="419535" spans="1:13" x14ac:dyDescent="0.25">
      <c r="A419535" s="6">
        <v>46153.416666666664</v>
      </c>
      <c r="B419535" s="11">
        <f t="shared" si="173"/>
        <v>5</v>
      </c>
      <c r="C419535" s="11">
        <f t="shared" si="174"/>
        <v>20</v>
      </c>
      <c r="D419535" s="5" t="s">
        <v>18</v>
      </c>
      <c r="E419535" s="11" t="s">
        <v>14</v>
      </c>
      <c r="F419535" s="9" t="s">
        <v>15</v>
      </c>
      <c r="G419535">
        <v>1</v>
      </c>
      <c r="J419535" s="7">
        <v>0.36</v>
      </c>
      <c r="K419535" s="11">
        <v>2026</v>
      </c>
      <c r="L419535" t="s">
        <v>16</v>
      </c>
      <c r="M419535" t="s">
        <v>17</v>
      </c>
    </row>
    <row r="419536" spans="1:13" x14ac:dyDescent="0.25">
      <c r="A419536" s="6">
        <v>46153.416666666664</v>
      </c>
      <c r="B419536" s="11">
        <f t="shared" si="173"/>
        <v>5</v>
      </c>
      <c r="C419536" s="11">
        <f t="shared" si="174"/>
        <v>20</v>
      </c>
      <c r="D419536" s="5" t="s">
        <v>18</v>
      </c>
      <c r="E419536" s="11" t="s">
        <v>14</v>
      </c>
      <c r="F419536" s="9" t="s">
        <v>15</v>
      </c>
      <c r="G419536">
        <v>1</v>
      </c>
      <c r="J419536" s="7">
        <v>0.5</v>
      </c>
      <c r="K419536" s="11">
        <v>2026</v>
      </c>
      <c r="L419536" t="s">
        <v>16</v>
      </c>
      <c r="M419536" t="s">
        <v>17</v>
      </c>
    </row>
    <row r="419537" spans="1:13" x14ac:dyDescent="0.25">
      <c r="A419537" s="6">
        <v>46153.416666666664</v>
      </c>
      <c r="B419537" s="11">
        <f t="shared" si="173"/>
        <v>5</v>
      </c>
      <c r="C419537" s="11">
        <f t="shared" si="174"/>
        <v>20</v>
      </c>
      <c r="D419537" s="5" t="s">
        <v>18</v>
      </c>
      <c r="E419537" s="11" t="s">
        <v>14</v>
      </c>
      <c r="F419537" s="9" t="s">
        <v>15</v>
      </c>
      <c r="G419537">
        <v>1</v>
      </c>
      <c r="J419537" s="7">
        <v>6.0839999999999996</v>
      </c>
      <c r="K419537" s="11">
        <v>2026</v>
      </c>
      <c r="L419537" t="s">
        <v>16</v>
      </c>
      <c r="M419537" t="s">
        <v>17</v>
      </c>
    </row>
    <row r="419538" spans="1:13" x14ac:dyDescent="0.25">
      <c r="A419538" s="6">
        <v>46158.458333333336</v>
      </c>
      <c r="B419538" s="11">
        <f t="shared" si="173"/>
        <v>5</v>
      </c>
      <c r="C419538" s="11">
        <f t="shared" si="174"/>
        <v>20</v>
      </c>
      <c r="D419538" s="5" t="s">
        <v>18</v>
      </c>
      <c r="E419538" s="11" t="s">
        <v>14</v>
      </c>
      <c r="F419538" s="9" t="s">
        <v>22</v>
      </c>
      <c r="G419538">
        <v>1</v>
      </c>
      <c r="J419538" s="7">
        <v>1.4219999999999999</v>
      </c>
      <c r="K419538" s="11">
        <v>2026</v>
      </c>
      <c r="L419538" t="s">
        <v>16</v>
      </c>
      <c r="M419538" t="s">
        <v>17</v>
      </c>
    </row>
    <row r="419539" spans="1:13" x14ac:dyDescent="0.25">
      <c r="A419539" s="6">
        <v>46153.416666666664</v>
      </c>
      <c r="B419539" s="11">
        <f t="shared" si="173"/>
        <v>5</v>
      </c>
      <c r="C419539" s="11">
        <f t="shared" si="174"/>
        <v>20</v>
      </c>
      <c r="D419539" s="5" t="s">
        <v>18</v>
      </c>
      <c r="E419539" s="11" t="s">
        <v>14</v>
      </c>
      <c r="F419539" s="9" t="s">
        <v>15</v>
      </c>
      <c r="G419539">
        <v>1</v>
      </c>
      <c r="J419539" s="7">
        <v>7.4130000000000003</v>
      </c>
      <c r="K419539" s="11">
        <v>2026</v>
      </c>
      <c r="L419539" t="s">
        <v>16</v>
      </c>
      <c r="M419539" t="s">
        <v>17</v>
      </c>
    </row>
    <row r="419540" spans="1:13" x14ac:dyDescent="0.25">
      <c r="A419540" s="6">
        <v>46153.416666666664</v>
      </c>
      <c r="B419540" s="11">
        <f t="shared" si="173"/>
        <v>5</v>
      </c>
      <c r="C419540" s="11">
        <f t="shared" si="174"/>
        <v>20</v>
      </c>
      <c r="D419540" s="5" t="s">
        <v>18</v>
      </c>
      <c r="E419540" s="11" t="s">
        <v>14</v>
      </c>
      <c r="F419540" s="9" t="s">
        <v>15</v>
      </c>
      <c r="G419540">
        <v>1</v>
      </c>
      <c r="J419540" s="7">
        <v>2.2050000000000001</v>
      </c>
      <c r="K419540" s="11">
        <v>2026</v>
      </c>
      <c r="L419540" t="s">
        <v>16</v>
      </c>
      <c r="M419540" t="s">
        <v>17</v>
      </c>
    </row>
    <row r="419541" spans="1:13" x14ac:dyDescent="0.25">
      <c r="A419541" s="6">
        <v>46154.666666666664</v>
      </c>
      <c r="B419541" s="11">
        <f t="shared" si="173"/>
        <v>5</v>
      </c>
      <c r="C419541" s="11">
        <f t="shared" si="174"/>
        <v>20</v>
      </c>
      <c r="D419541" s="5" t="s">
        <v>18</v>
      </c>
      <c r="E419541" s="11" t="s">
        <v>14</v>
      </c>
      <c r="F419541" s="9" t="s">
        <v>15</v>
      </c>
      <c r="G419541">
        <v>1</v>
      </c>
      <c r="J419541" s="7">
        <v>17.649000000000001</v>
      </c>
      <c r="K419541" s="11">
        <v>2026</v>
      </c>
      <c r="L419541" t="s">
        <v>16</v>
      </c>
      <c r="M419541" t="s">
        <v>17</v>
      </c>
    </row>
    <row r="419542" spans="1:13" x14ac:dyDescent="0.25">
      <c r="A419542" s="6">
        <v>46153</v>
      </c>
      <c r="B419542" s="11">
        <f t="shared" si="173"/>
        <v>5</v>
      </c>
      <c r="C419542" s="11">
        <f t="shared" si="174"/>
        <v>20</v>
      </c>
      <c r="D419542" s="5" t="s">
        <v>18</v>
      </c>
      <c r="E419542" s="11" t="s">
        <v>14</v>
      </c>
      <c r="F419542" s="9" t="s">
        <v>22</v>
      </c>
      <c r="G419542">
        <v>1</v>
      </c>
      <c r="J419542" s="7">
        <v>0.81599999999999995</v>
      </c>
      <c r="K419542" s="11">
        <v>2026</v>
      </c>
      <c r="L419542" t="s">
        <v>16</v>
      </c>
      <c r="M419542" t="s">
        <v>17</v>
      </c>
    </row>
    <row r="419543" spans="1:13" x14ac:dyDescent="0.25">
      <c r="A419543" s="6">
        <v>46153.416666666664</v>
      </c>
      <c r="B419543" s="11">
        <f t="shared" si="173"/>
        <v>5</v>
      </c>
      <c r="C419543" s="11">
        <f t="shared" si="174"/>
        <v>20</v>
      </c>
      <c r="D419543" s="5" t="s">
        <v>18</v>
      </c>
      <c r="E419543" s="11" t="s">
        <v>14</v>
      </c>
      <c r="F419543" s="9" t="s">
        <v>15</v>
      </c>
      <c r="G419543">
        <v>1</v>
      </c>
      <c r="J419543" s="7">
        <v>14.61</v>
      </c>
      <c r="K419543" s="11">
        <v>2026</v>
      </c>
      <c r="L419543" t="s">
        <v>16</v>
      </c>
      <c r="M419543" t="s">
        <v>17</v>
      </c>
    </row>
    <row r="419544" spans="1:13" x14ac:dyDescent="0.25">
      <c r="A419544" s="6">
        <v>46153.416666666664</v>
      </c>
      <c r="B419544" s="11">
        <f t="shared" si="173"/>
        <v>5</v>
      </c>
      <c r="C419544" s="11">
        <f t="shared" si="174"/>
        <v>20</v>
      </c>
      <c r="D419544" s="5" t="s">
        <v>18</v>
      </c>
      <c r="E419544" s="11" t="s">
        <v>14</v>
      </c>
      <c r="F419544" s="9" t="s">
        <v>15</v>
      </c>
      <c r="G419544">
        <v>1</v>
      </c>
      <c r="J419544" s="7">
        <v>7.1420000000000003</v>
      </c>
      <c r="K419544" s="11">
        <v>2026</v>
      </c>
      <c r="L419544" t="s">
        <v>16</v>
      </c>
      <c r="M419544" t="s">
        <v>17</v>
      </c>
    </row>
    <row r="419545" spans="1:13" x14ac:dyDescent="0.25">
      <c r="A419545" s="6">
        <v>46155</v>
      </c>
      <c r="B419545" s="11">
        <f t="shared" si="173"/>
        <v>5</v>
      </c>
      <c r="C419545" s="11">
        <f t="shared" si="174"/>
        <v>20</v>
      </c>
      <c r="D419545" s="5" t="s">
        <v>18</v>
      </c>
      <c r="E419545" s="11" t="s">
        <v>14</v>
      </c>
      <c r="F419545" s="9" t="s">
        <v>22</v>
      </c>
      <c r="G419545">
        <v>1</v>
      </c>
      <c r="J419545" s="7">
        <v>0.67200000000000004</v>
      </c>
      <c r="K419545" s="11">
        <v>2026</v>
      </c>
      <c r="L419545" t="s">
        <v>16</v>
      </c>
      <c r="M419545" t="s">
        <v>17</v>
      </c>
    </row>
    <row r="419546" spans="1:13" x14ac:dyDescent="0.25">
      <c r="A419546" s="6">
        <v>46153.416666666664</v>
      </c>
      <c r="B419546" s="11">
        <f t="shared" si="173"/>
        <v>5</v>
      </c>
      <c r="C419546" s="11">
        <f t="shared" si="174"/>
        <v>20</v>
      </c>
      <c r="D419546" s="5" t="s">
        <v>18</v>
      </c>
      <c r="E419546" s="11" t="s">
        <v>14</v>
      </c>
      <c r="F419546" s="9" t="s">
        <v>22</v>
      </c>
      <c r="G419546">
        <v>1</v>
      </c>
      <c r="J419546" s="7">
        <v>0.55900000000000005</v>
      </c>
      <c r="K419546" s="11">
        <v>2026</v>
      </c>
      <c r="L419546" t="s">
        <v>16</v>
      </c>
      <c r="M419546" t="s">
        <v>17</v>
      </c>
    </row>
    <row r="419547" spans="1:13" x14ac:dyDescent="0.25">
      <c r="A419547" s="6">
        <v>46156.541666666664</v>
      </c>
      <c r="B419547" s="11">
        <f t="shared" si="173"/>
        <v>5</v>
      </c>
      <c r="C419547" s="11">
        <f t="shared" si="174"/>
        <v>20</v>
      </c>
      <c r="D419547" s="5" t="s">
        <v>18</v>
      </c>
      <c r="E419547" s="11" t="s">
        <v>14</v>
      </c>
      <c r="F419547" s="9" t="s">
        <v>15</v>
      </c>
      <c r="G419547">
        <v>1</v>
      </c>
      <c r="J419547" s="7">
        <v>1.325</v>
      </c>
      <c r="K419547" s="11">
        <v>2026</v>
      </c>
      <c r="L419547" t="s">
        <v>16</v>
      </c>
      <c r="M419547" t="s">
        <v>17</v>
      </c>
    </row>
    <row r="419548" spans="1:13" x14ac:dyDescent="0.25">
      <c r="A419548" s="6">
        <v>46153.416666666664</v>
      </c>
      <c r="B419548" s="11">
        <f t="shared" si="173"/>
        <v>5</v>
      </c>
      <c r="C419548" s="11">
        <f t="shared" si="174"/>
        <v>20</v>
      </c>
      <c r="D419548" s="5" t="s">
        <v>18</v>
      </c>
      <c r="E419548" s="11" t="s">
        <v>14</v>
      </c>
      <c r="F419548" s="9" t="s">
        <v>22</v>
      </c>
      <c r="G419548">
        <v>1</v>
      </c>
      <c r="J419548" s="7">
        <v>2.4710000000000001</v>
      </c>
      <c r="K419548" s="11">
        <v>2026</v>
      </c>
      <c r="L419548" t="s">
        <v>16</v>
      </c>
      <c r="M419548" t="s">
        <v>17</v>
      </c>
    </row>
    <row r="419549" spans="1:13" x14ac:dyDescent="0.25">
      <c r="A419549" s="6">
        <v>46156</v>
      </c>
      <c r="B419549" s="11">
        <f t="shared" si="173"/>
        <v>5</v>
      </c>
      <c r="C419549" s="11">
        <f t="shared" si="174"/>
        <v>20</v>
      </c>
      <c r="D419549" s="5" t="s">
        <v>18</v>
      </c>
      <c r="E419549" s="11" t="s">
        <v>14</v>
      </c>
      <c r="F419549" s="9" t="s">
        <v>22</v>
      </c>
      <c r="G419549">
        <v>1</v>
      </c>
      <c r="J419549" s="7">
        <v>0.99299999999999999</v>
      </c>
      <c r="K419549" s="11">
        <v>2026</v>
      </c>
      <c r="L419549" t="s">
        <v>16</v>
      </c>
      <c r="M419549" t="s">
        <v>17</v>
      </c>
    </row>
    <row r="419550" spans="1:13" x14ac:dyDescent="0.25">
      <c r="A419550" s="6">
        <v>46158.291666666664</v>
      </c>
      <c r="B419550" s="11">
        <f t="shared" ref="B419550:B419599" si="175">MONTH(A419550)</f>
        <v>5</v>
      </c>
      <c r="C419550" s="11">
        <f t="shared" ref="C419550:C419599" si="176">WEEKNUM(A419550)</f>
        <v>20</v>
      </c>
      <c r="D419550" s="5" t="s">
        <v>18</v>
      </c>
      <c r="E419550" s="11" t="s">
        <v>14</v>
      </c>
      <c r="F419550" s="9" t="s">
        <v>22</v>
      </c>
      <c r="G419550">
        <v>1</v>
      </c>
      <c r="J419550" s="7">
        <v>4.4279999999999999</v>
      </c>
      <c r="K419550" s="11">
        <v>2026</v>
      </c>
      <c r="L419550" t="s">
        <v>16</v>
      </c>
      <c r="M419550" t="s">
        <v>17</v>
      </c>
    </row>
    <row r="419551" spans="1:13" x14ac:dyDescent="0.25">
      <c r="A419551" s="6">
        <v>46156.541666666664</v>
      </c>
      <c r="B419551" s="11">
        <f t="shared" si="175"/>
        <v>5</v>
      </c>
      <c r="C419551" s="11">
        <f t="shared" si="176"/>
        <v>20</v>
      </c>
      <c r="D419551" s="5" t="s">
        <v>18</v>
      </c>
      <c r="E419551" s="11" t="s">
        <v>14</v>
      </c>
      <c r="F419551" s="9" t="s">
        <v>15</v>
      </c>
      <c r="G419551">
        <v>1</v>
      </c>
      <c r="J419551" s="7">
        <v>0.67200000000000004</v>
      </c>
      <c r="K419551" s="11">
        <v>2026</v>
      </c>
      <c r="L419551" t="s">
        <v>16</v>
      </c>
      <c r="M419551" t="s">
        <v>17</v>
      </c>
    </row>
    <row r="419552" spans="1:13" x14ac:dyDescent="0.25">
      <c r="A419552" s="6">
        <v>46156.541666666664</v>
      </c>
      <c r="B419552" s="11">
        <f t="shared" si="175"/>
        <v>5</v>
      </c>
      <c r="C419552" s="11">
        <f t="shared" si="176"/>
        <v>20</v>
      </c>
      <c r="D419552" s="5" t="s">
        <v>18</v>
      </c>
      <c r="E419552" s="11" t="s">
        <v>14</v>
      </c>
      <c r="F419552" s="9" t="s">
        <v>15</v>
      </c>
      <c r="G419552">
        <v>1</v>
      </c>
      <c r="J419552" s="7">
        <v>1.915</v>
      </c>
      <c r="K419552" s="11">
        <v>2026</v>
      </c>
      <c r="L419552" t="s">
        <v>16</v>
      </c>
      <c r="M419552" t="s">
        <v>17</v>
      </c>
    </row>
    <row r="419553" spans="1:13" x14ac:dyDescent="0.25">
      <c r="A419553" s="6">
        <v>46156.541666666664</v>
      </c>
      <c r="B419553" s="11">
        <f t="shared" si="175"/>
        <v>5</v>
      </c>
      <c r="C419553" s="11">
        <f t="shared" si="176"/>
        <v>20</v>
      </c>
      <c r="D419553" s="5" t="s">
        <v>18</v>
      </c>
      <c r="E419553" s="11" t="s">
        <v>14</v>
      </c>
      <c r="F419553" s="9" t="s">
        <v>15</v>
      </c>
      <c r="G419553">
        <v>1</v>
      </c>
      <c r="J419553" s="7">
        <v>0.63800000000000001</v>
      </c>
      <c r="K419553" s="11">
        <v>2026</v>
      </c>
      <c r="L419553" t="s">
        <v>16</v>
      </c>
      <c r="M419553" t="s">
        <v>17</v>
      </c>
    </row>
    <row r="419554" spans="1:13" x14ac:dyDescent="0.25">
      <c r="A419554" s="6">
        <v>46153.416666666664</v>
      </c>
      <c r="B419554" s="11">
        <f t="shared" si="175"/>
        <v>5</v>
      </c>
      <c r="C419554" s="11">
        <f t="shared" si="176"/>
        <v>20</v>
      </c>
      <c r="D419554" s="5" t="s">
        <v>18</v>
      </c>
      <c r="E419554" s="11" t="s">
        <v>14</v>
      </c>
      <c r="F419554" s="9" t="s">
        <v>15</v>
      </c>
      <c r="G419554">
        <v>1</v>
      </c>
      <c r="J419554" s="7">
        <v>9.6780000000000008</v>
      </c>
      <c r="K419554" s="11">
        <v>2026</v>
      </c>
      <c r="L419554" t="s">
        <v>16</v>
      </c>
      <c r="M419554" t="s">
        <v>17</v>
      </c>
    </row>
    <row r="419555" spans="1:13" x14ac:dyDescent="0.25">
      <c r="A419555" s="6">
        <v>46156.541666666664</v>
      </c>
      <c r="B419555" s="11">
        <f t="shared" si="175"/>
        <v>5</v>
      </c>
      <c r="C419555" s="11">
        <f t="shared" si="176"/>
        <v>20</v>
      </c>
      <c r="D419555" s="5" t="s">
        <v>18</v>
      </c>
      <c r="E419555" s="11" t="s">
        <v>14</v>
      </c>
      <c r="F419555" s="9" t="s">
        <v>15</v>
      </c>
      <c r="G419555">
        <v>1</v>
      </c>
      <c r="J419555" s="7">
        <v>2.052</v>
      </c>
      <c r="K419555" s="11">
        <v>2026</v>
      </c>
      <c r="L419555" t="s">
        <v>16</v>
      </c>
      <c r="M419555" t="s">
        <v>17</v>
      </c>
    </row>
    <row r="419556" spans="1:13" x14ac:dyDescent="0.25">
      <c r="A419556" s="6">
        <v>46153.416666666664</v>
      </c>
      <c r="B419556" s="11">
        <f t="shared" si="175"/>
        <v>5</v>
      </c>
      <c r="C419556" s="11">
        <f t="shared" si="176"/>
        <v>20</v>
      </c>
      <c r="D419556" s="5" t="s">
        <v>18</v>
      </c>
      <c r="E419556" s="11" t="s">
        <v>14</v>
      </c>
      <c r="F419556" s="9" t="s">
        <v>15</v>
      </c>
      <c r="G419556">
        <v>1</v>
      </c>
      <c r="J419556" s="7">
        <v>11.145</v>
      </c>
      <c r="K419556" s="11">
        <v>2026</v>
      </c>
      <c r="L419556" t="s">
        <v>16</v>
      </c>
      <c r="M419556" t="s">
        <v>17</v>
      </c>
    </row>
    <row r="419557" spans="1:13" x14ac:dyDescent="0.25">
      <c r="A419557" s="6">
        <v>46153.416666666664</v>
      </c>
      <c r="B419557" s="11">
        <f t="shared" si="175"/>
        <v>5</v>
      </c>
      <c r="C419557" s="11">
        <f t="shared" si="176"/>
        <v>20</v>
      </c>
      <c r="D419557" s="5" t="s">
        <v>18</v>
      </c>
      <c r="E419557" s="11" t="s">
        <v>14</v>
      </c>
      <c r="F419557" s="9" t="s">
        <v>15</v>
      </c>
      <c r="G419557">
        <v>1</v>
      </c>
      <c r="J419557" s="7">
        <v>17.309999999999999</v>
      </c>
      <c r="K419557" s="11">
        <v>2026</v>
      </c>
      <c r="L419557" t="s">
        <v>16</v>
      </c>
      <c r="M419557" t="s">
        <v>17</v>
      </c>
    </row>
    <row r="419558" spans="1:13" x14ac:dyDescent="0.25">
      <c r="A419558" s="6">
        <v>46156.541666666664</v>
      </c>
      <c r="B419558" s="11">
        <f t="shared" si="175"/>
        <v>5</v>
      </c>
      <c r="C419558" s="11">
        <f t="shared" si="176"/>
        <v>20</v>
      </c>
      <c r="D419558" s="5" t="s">
        <v>18</v>
      </c>
      <c r="E419558" s="11" t="s">
        <v>14</v>
      </c>
      <c r="F419558" s="9" t="s">
        <v>15</v>
      </c>
      <c r="G419558">
        <v>1</v>
      </c>
      <c r="J419558" s="7">
        <v>0.996</v>
      </c>
      <c r="K419558" s="11">
        <v>2026</v>
      </c>
      <c r="L419558" t="s">
        <v>16</v>
      </c>
      <c r="M419558" t="s">
        <v>17</v>
      </c>
    </row>
    <row r="419559" spans="1:13" x14ac:dyDescent="0.25">
      <c r="A419559" s="6">
        <v>46156</v>
      </c>
      <c r="B419559" s="11">
        <f t="shared" si="175"/>
        <v>5</v>
      </c>
      <c r="C419559" s="11">
        <f t="shared" si="176"/>
        <v>20</v>
      </c>
      <c r="D419559" s="5" t="s">
        <v>18</v>
      </c>
      <c r="E419559" s="11" t="s">
        <v>14</v>
      </c>
      <c r="F419559" s="9" t="s">
        <v>22</v>
      </c>
      <c r="G419559">
        <v>1</v>
      </c>
      <c r="J419559" s="7">
        <v>5.6429999999999998</v>
      </c>
      <c r="K419559" s="11">
        <v>2026</v>
      </c>
      <c r="L419559" t="s">
        <v>16</v>
      </c>
      <c r="M419559" t="s">
        <v>17</v>
      </c>
    </row>
    <row r="419560" spans="1:13" x14ac:dyDescent="0.25">
      <c r="A419560" s="6">
        <v>46152</v>
      </c>
      <c r="B419560" s="11">
        <f t="shared" si="175"/>
        <v>5</v>
      </c>
      <c r="C419560" s="11">
        <f t="shared" si="176"/>
        <v>20</v>
      </c>
      <c r="D419560" s="5" t="s">
        <v>18</v>
      </c>
      <c r="E419560" s="11" t="s">
        <v>14</v>
      </c>
      <c r="F419560" s="9" t="s">
        <v>22</v>
      </c>
      <c r="G419560">
        <v>1</v>
      </c>
      <c r="J419560" s="7">
        <v>1.48</v>
      </c>
      <c r="K419560" s="11">
        <v>2026</v>
      </c>
      <c r="L419560" t="s">
        <v>16</v>
      </c>
      <c r="M419560" t="s">
        <v>17</v>
      </c>
    </row>
    <row r="419561" spans="1:13" x14ac:dyDescent="0.25">
      <c r="A419561" s="6">
        <v>46157</v>
      </c>
      <c r="B419561" s="11">
        <f t="shared" si="175"/>
        <v>5</v>
      </c>
      <c r="C419561" s="11">
        <f t="shared" si="176"/>
        <v>20</v>
      </c>
      <c r="D419561" s="5" t="s">
        <v>18</v>
      </c>
      <c r="E419561" s="11" t="s">
        <v>14</v>
      </c>
      <c r="F419561" s="9" t="s">
        <v>22</v>
      </c>
      <c r="G419561">
        <v>1</v>
      </c>
      <c r="J419561" s="7">
        <v>2.1659999999999999</v>
      </c>
      <c r="K419561" s="11">
        <v>2026</v>
      </c>
      <c r="L419561" t="s">
        <v>16</v>
      </c>
      <c r="M419561" t="s">
        <v>17</v>
      </c>
    </row>
    <row r="419562" spans="1:13" x14ac:dyDescent="0.25">
      <c r="A419562" s="6">
        <v>46153.958333333336</v>
      </c>
      <c r="B419562" s="11">
        <f t="shared" si="175"/>
        <v>5</v>
      </c>
      <c r="C419562" s="11">
        <f t="shared" si="176"/>
        <v>20</v>
      </c>
      <c r="D419562" s="5" t="s">
        <v>18</v>
      </c>
      <c r="E419562" s="11" t="s">
        <v>14</v>
      </c>
      <c r="F419562" s="9" t="s">
        <v>22</v>
      </c>
      <c r="G419562">
        <v>1</v>
      </c>
      <c r="J419562" s="7">
        <v>3.45</v>
      </c>
      <c r="K419562" s="11">
        <v>2026</v>
      </c>
      <c r="L419562" t="s">
        <v>16</v>
      </c>
      <c r="M419562" t="s">
        <v>17</v>
      </c>
    </row>
    <row r="419563" spans="1:13" x14ac:dyDescent="0.25">
      <c r="A419563" s="6">
        <v>46158.291666666664</v>
      </c>
      <c r="B419563" s="11">
        <f t="shared" si="175"/>
        <v>5</v>
      </c>
      <c r="C419563" s="11">
        <f t="shared" si="176"/>
        <v>20</v>
      </c>
      <c r="D419563" s="5" t="s">
        <v>18</v>
      </c>
      <c r="E419563" s="11" t="s">
        <v>14</v>
      </c>
      <c r="F419563" s="9" t="s">
        <v>22</v>
      </c>
      <c r="G419563">
        <v>1</v>
      </c>
      <c r="J419563" s="7">
        <v>2.395</v>
      </c>
      <c r="K419563" s="11">
        <v>2026</v>
      </c>
      <c r="L419563" t="s">
        <v>16</v>
      </c>
      <c r="M419563" t="s">
        <v>17</v>
      </c>
    </row>
    <row r="419564" spans="1:13" x14ac:dyDescent="0.25">
      <c r="A419564" s="6">
        <v>46153.416666666664</v>
      </c>
      <c r="B419564" s="11">
        <f t="shared" si="175"/>
        <v>5</v>
      </c>
      <c r="C419564" s="11">
        <f t="shared" si="176"/>
        <v>20</v>
      </c>
      <c r="D419564" s="5" t="s">
        <v>18</v>
      </c>
      <c r="E419564" s="11" t="s">
        <v>14</v>
      </c>
      <c r="F419564" s="9" t="s">
        <v>15</v>
      </c>
      <c r="G419564">
        <v>1</v>
      </c>
      <c r="J419564" s="7">
        <v>0.38</v>
      </c>
      <c r="K419564" s="11">
        <v>2026</v>
      </c>
      <c r="L419564" t="s">
        <v>16</v>
      </c>
      <c r="M419564" t="s">
        <v>17</v>
      </c>
    </row>
    <row r="419565" spans="1:13" x14ac:dyDescent="0.25">
      <c r="A419565" s="6">
        <v>46153</v>
      </c>
      <c r="B419565" s="11">
        <f t="shared" si="175"/>
        <v>5</v>
      </c>
      <c r="C419565" s="11">
        <f t="shared" si="176"/>
        <v>20</v>
      </c>
      <c r="D419565" s="5" t="s">
        <v>20</v>
      </c>
      <c r="E419565" s="11" t="s">
        <v>14</v>
      </c>
      <c r="F419565" s="9" t="s">
        <v>22</v>
      </c>
      <c r="G419565">
        <v>1</v>
      </c>
      <c r="J419565" s="7">
        <v>1.014</v>
      </c>
      <c r="K419565" s="11">
        <v>2026</v>
      </c>
      <c r="L419565" t="s">
        <v>16</v>
      </c>
      <c r="M419565" t="s">
        <v>17</v>
      </c>
    </row>
    <row r="419566" spans="1:13" x14ac:dyDescent="0.25">
      <c r="A419566" s="6">
        <v>46153.416666666664</v>
      </c>
      <c r="B419566" s="11">
        <f t="shared" si="175"/>
        <v>5</v>
      </c>
      <c r="C419566" s="11">
        <f t="shared" si="176"/>
        <v>20</v>
      </c>
      <c r="D419566" s="5" t="s">
        <v>13</v>
      </c>
      <c r="E419566" s="11" t="s">
        <v>14</v>
      </c>
      <c r="F419566" s="9" t="s">
        <v>15</v>
      </c>
      <c r="G419566">
        <v>1</v>
      </c>
      <c r="J419566" s="7">
        <v>0.8</v>
      </c>
      <c r="K419566" s="11">
        <v>2026</v>
      </c>
      <c r="L419566" t="s">
        <v>16</v>
      </c>
      <c r="M419566" t="s">
        <v>17</v>
      </c>
    </row>
    <row r="419567" spans="1:13" x14ac:dyDescent="0.25">
      <c r="A419567" s="6">
        <v>46157</v>
      </c>
      <c r="B419567" s="11">
        <f t="shared" si="175"/>
        <v>5</v>
      </c>
      <c r="C419567" s="11">
        <f t="shared" si="176"/>
        <v>20</v>
      </c>
      <c r="D419567" s="5" t="s">
        <v>23</v>
      </c>
      <c r="E419567" s="11" t="s">
        <v>14</v>
      </c>
      <c r="F419567" s="9" t="s">
        <v>22</v>
      </c>
      <c r="G419567">
        <v>1</v>
      </c>
      <c r="J419567" s="7">
        <v>6.0819999999999999</v>
      </c>
      <c r="K419567" s="11">
        <v>2026</v>
      </c>
      <c r="L419567" t="s">
        <v>16</v>
      </c>
      <c r="M419567" t="s">
        <v>17</v>
      </c>
    </row>
    <row r="419568" spans="1:13" x14ac:dyDescent="0.25">
      <c r="A419568" s="6">
        <v>46157</v>
      </c>
      <c r="B419568" s="11">
        <f t="shared" si="175"/>
        <v>5</v>
      </c>
      <c r="C419568" s="11">
        <f t="shared" si="176"/>
        <v>20</v>
      </c>
      <c r="D419568" s="5" t="s">
        <v>21</v>
      </c>
      <c r="E419568" s="11" t="s">
        <v>14</v>
      </c>
      <c r="F419568" s="9" t="s">
        <v>22</v>
      </c>
      <c r="G419568">
        <v>1</v>
      </c>
      <c r="J419568" s="7">
        <v>14.802</v>
      </c>
      <c r="K419568" s="11">
        <v>2026</v>
      </c>
      <c r="L419568" t="s">
        <v>16</v>
      </c>
      <c r="M419568" t="s">
        <v>17</v>
      </c>
    </row>
    <row r="419569" spans="1:13" x14ac:dyDescent="0.25">
      <c r="A419569" s="6">
        <v>46156</v>
      </c>
      <c r="B419569" s="11">
        <f t="shared" si="175"/>
        <v>5</v>
      </c>
      <c r="C419569" s="11">
        <f t="shared" si="176"/>
        <v>20</v>
      </c>
      <c r="D419569" s="5" t="s">
        <v>21</v>
      </c>
      <c r="E419569" s="11" t="s">
        <v>14</v>
      </c>
      <c r="F419569" s="9" t="s">
        <v>22</v>
      </c>
      <c r="G419569">
        <v>1</v>
      </c>
      <c r="J419569" s="7">
        <v>0.24</v>
      </c>
      <c r="K419569" s="11">
        <v>2026</v>
      </c>
      <c r="L419569" t="s">
        <v>16</v>
      </c>
      <c r="M419569" t="s">
        <v>17</v>
      </c>
    </row>
    <row r="419570" spans="1:13" x14ac:dyDescent="0.25">
      <c r="A419570" s="6">
        <v>46153.416666666664</v>
      </c>
      <c r="B419570" s="11">
        <f t="shared" si="175"/>
        <v>5</v>
      </c>
      <c r="C419570" s="11">
        <f t="shared" si="176"/>
        <v>20</v>
      </c>
      <c r="D419570" s="5" t="s">
        <v>21</v>
      </c>
      <c r="E419570" s="11" t="s">
        <v>14</v>
      </c>
      <c r="F419570" s="9" t="s">
        <v>15</v>
      </c>
      <c r="G419570">
        <v>1</v>
      </c>
      <c r="J419570" s="7">
        <v>0.40699999999999997</v>
      </c>
      <c r="K419570" s="11">
        <v>2026</v>
      </c>
      <c r="L419570" t="s">
        <v>16</v>
      </c>
      <c r="M419570" t="s">
        <v>17</v>
      </c>
    </row>
    <row r="419571" spans="1:13" x14ac:dyDescent="0.25">
      <c r="A419571" s="6">
        <v>46153.416666666664</v>
      </c>
      <c r="B419571" s="11">
        <f t="shared" si="175"/>
        <v>5</v>
      </c>
      <c r="C419571" s="11">
        <f t="shared" si="176"/>
        <v>20</v>
      </c>
      <c r="D419571" s="5" t="s">
        <v>21</v>
      </c>
      <c r="E419571" s="11" t="s">
        <v>14</v>
      </c>
      <c r="F419571" s="9" t="s">
        <v>15</v>
      </c>
      <c r="G419571">
        <v>1</v>
      </c>
      <c r="J419571" s="7">
        <v>1.627</v>
      </c>
      <c r="K419571" s="11">
        <v>2026</v>
      </c>
      <c r="L419571" t="s">
        <v>16</v>
      </c>
      <c r="M419571" t="s">
        <v>17</v>
      </c>
    </row>
    <row r="419572" spans="1:13" x14ac:dyDescent="0.25">
      <c r="A419572" s="6">
        <v>46153.416666666664</v>
      </c>
      <c r="B419572" s="11">
        <f t="shared" si="175"/>
        <v>5</v>
      </c>
      <c r="C419572" s="11">
        <f t="shared" si="176"/>
        <v>20</v>
      </c>
      <c r="D419572" s="5" t="s">
        <v>21</v>
      </c>
      <c r="E419572" s="11" t="s">
        <v>14</v>
      </c>
      <c r="F419572" s="9" t="s">
        <v>15</v>
      </c>
      <c r="G419572">
        <v>1</v>
      </c>
      <c r="J419572" s="7">
        <v>2.609</v>
      </c>
      <c r="K419572" s="11">
        <v>2026</v>
      </c>
      <c r="L419572" t="s">
        <v>16</v>
      </c>
      <c r="M419572" t="s">
        <v>17</v>
      </c>
    </row>
    <row r="419573" spans="1:13" x14ac:dyDescent="0.25">
      <c r="A419573" s="6">
        <v>46154.666666666664</v>
      </c>
      <c r="B419573" s="11">
        <f t="shared" si="175"/>
        <v>5</v>
      </c>
      <c r="C419573" s="11">
        <f t="shared" si="176"/>
        <v>20</v>
      </c>
      <c r="D419573" s="5" t="s">
        <v>21</v>
      </c>
      <c r="E419573" s="11" t="s">
        <v>14</v>
      </c>
      <c r="F419573" s="9" t="s">
        <v>22</v>
      </c>
      <c r="G419573">
        <v>1</v>
      </c>
      <c r="J419573" s="7">
        <v>8.7799999999999994</v>
      </c>
      <c r="K419573" s="11">
        <v>2026</v>
      </c>
      <c r="L419573" t="s">
        <v>16</v>
      </c>
      <c r="M419573" t="s">
        <v>17</v>
      </c>
    </row>
    <row r="419574" spans="1:13" x14ac:dyDescent="0.25">
      <c r="A419574" s="6">
        <v>46153.416666666664</v>
      </c>
      <c r="B419574" s="11">
        <f t="shared" si="175"/>
        <v>5</v>
      </c>
      <c r="C419574" s="11">
        <f t="shared" si="176"/>
        <v>20</v>
      </c>
      <c r="D419574" s="5" t="s">
        <v>21</v>
      </c>
      <c r="E419574" s="11" t="s">
        <v>14</v>
      </c>
      <c r="F419574" s="9" t="s">
        <v>15</v>
      </c>
      <c r="G419574">
        <v>1</v>
      </c>
      <c r="J419574" s="7">
        <v>4.28</v>
      </c>
      <c r="K419574" s="11">
        <v>2026</v>
      </c>
      <c r="L419574" t="s">
        <v>16</v>
      </c>
      <c r="M419574" t="s">
        <v>17</v>
      </c>
    </row>
    <row r="419575" spans="1:13" x14ac:dyDescent="0.25">
      <c r="A419575" s="6">
        <v>46153.416666666664</v>
      </c>
      <c r="B419575" s="11">
        <f t="shared" si="175"/>
        <v>5</v>
      </c>
      <c r="C419575" s="11">
        <f t="shared" si="176"/>
        <v>20</v>
      </c>
      <c r="D419575" s="5" t="s">
        <v>21</v>
      </c>
      <c r="E419575" s="11" t="s">
        <v>14</v>
      </c>
      <c r="F419575" s="9" t="s">
        <v>15</v>
      </c>
      <c r="G419575">
        <v>1</v>
      </c>
      <c r="J419575" s="7">
        <v>0.33600000000000002</v>
      </c>
      <c r="K419575" s="11">
        <v>2026</v>
      </c>
      <c r="L419575" t="s">
        <v>16</v>
      </c>
      <c r="M419575" t="s">
        <v>17</v>
      </c>
    </row>
    <row r="419576" spans="1:13" x14ac:dyDescent="0.25">
      <c r="A419576" s="6">
        <v>46158</v>
      </c>
      <c r="B419576" s="11">
        <f t="shared" si="175"/>
        <v>5</v>
      </c>
      <c r="C419576" s="11">
        <f t="shared" si="176"/>
        <v>20</v>
      </c>
      <c r="D419576" s="5" t="s">
        <v>21</v>
      </c>
      <c r="E419576" s="11" t="s">
        <v>14</v>
      </c>
      <c r="F419576" s="9" t="s">
        <v>22</v>
      </c>
      <c r="G419576">
        <v>1</v>
      </c>
      <c r="J419576" s="7">
        <v>1.6719999999999999</v>
      </c>
      <c r="K419576" s="11">
        <v>2026</v>
      </c>
      <c r="L419576" t="s">
        <v>16</v>
      </c>
      <c r="M419576" t="s">
        <v>17</v>
      </c>
    </row>
    <row r="419577" spans="1:13" x14ac:dyDescent="0.25">
      <c r="A419577" s="6">
        <v>46155</v>
      </c>
      <c r="B419577" s="11">
        <f t="shared" si="175"/>
        <v>5</v>
      </c>
      <c r="C419577" s="11">
        <f t="shared" si="176"/>
        <v>20</v>
      </c>
      <c r="D419577" s="5" t="s">
        <v>21</v>
      </c>
      <c r="E419577" s="11" t="s">
        <v>14</v>
      </c>
      <c r="F419577" s="9" t="s">
        <v>22</v>
      </c>
      <c r="G419577">
        <v>1</v>
      </c>
      <c r="J419577" s="7">
        <v>0.65600000000000003</v>
      </c>
      <c r="K419577" s="11">
        <v>2026</v>
      </c>
      <c r="L419577" t="s">
        <v>16</v>
      </c>
      <c r="M419577" t="s">
        <v>17</v>
      </c>
    </row>
    <row r="419578" spans="1:13" x14ac:dyDescent="0.25">
      <c r="A419578" s="6">
        <v>46155</v>
      </c>
      <c r="B419578" s="11">
        <f t="shared" si="175"/>
        <v>5</v>
      </c>
      <c r="C419578" s="11">
        <f t="shared" si="176"/>
        <v>20</v>
      </c>
      <c r="D419578" s="5" t="s">
        <v>21</v>
      </c>
      <c r="E419578" s="11" t="s">
        <v>14</v>
      </c>
      <c r="F419578" s="9" t="s">
        <v>22</v>
      </c>
      <c r="G419578">
        <v>1</v>
      </c>
      <c r="J419578" s="7">
        <v>0.65600000000000003</v>
      </c>
      <c r="K419578" s="11">
        <v>2026</v>
      </c>
      <c r="L419578" t="s">
        <v>16</v>
      </c>
      <c r="M419578" t="s">
        <v>17</v>
      </c>
    </row>
    <row r="419579" spans="1:13" x14ac:dyDescent="0.25">
      <c r="A419579" s="6">
        <v>46153</v>
      </c>
      <c r="B419579" s="11">
        <f t="shared" si="175"/>
        <v>5</v>
      </c>
      <c r="C419579" s="11">
        <f t="shared" si="176"/>
        <v>20</v>
      </c>
      <c r="D419579" s="5" t="s">
        <v>20</v>
      </c>
      <c r="E419579" s="11" t="s">
        <v>14</v>
      </c>
      <c r="F419579" s="9" t="s">
        <v>22</v>
      </c>
      <c r="G419579">
        <v>1</v>
      </c>
      <c r="J419579" s="7">
        <v>1.014</v>
      </c>
      <c r="K419579" s="11">
        <v>2026</v>
      </c>
      <c r="L419579" t="s">
        <v>16</v>
      </c>
      <c r="M419579" t="s">
        <v>17</v>
      </c>
    </row>
    <row r="419580" spans="1:13" x14ac:dyDescent="0.25">
      <c r="A419580" s="6">
        <v>46154.666666666664</v>
      </c>
      <c r="B419580" s="11">
        <f t="shared" si="175"/>
        <v>5</v>
      </c>
      <c r="C419580" s="11">
        <f t="shared" si="176"/>
        <v>20</v>
      </c>
      <c r="D419580" s="5" t="s">
        <v>20</v>
      </c>
      <c r="E419580" s="11" t="s">
        <v>14</v>
      </c>
      <c r="F419580" s="9" t="s">
        <v>22</v>
      </c>
      <c r="G419580">
        <v>1</v>
      </c>
      <c r="J419580" s="7">
        <v>1.748</v>
      </c>
      <c r="K419580" s="11">
        <v>2026</v>
      </c>
      <c r="L419580" t="s">
        <v>16</v>
      </c>
      <c r="M419580" t="s">
        <v>17</v>
      </c>
    </row>
    <row r="419581" spans="1:13" x14ac:dyDescent="0.25">
      <c r="A419581" s="6">
        <v>46154</v>
      </c>
      <c r="B419581" s="11">
        <f t="shared" si="175"/>
        <v>5</v>
      </c>
      <c r="C419581" s="11">
        <f t="shared" si="176"/>
        <v>20</v>
      </c>
      <c r="D419581" s="5" t="s">
        <v>20</v>
      </c>
      <c r="E419581" s="11" t="s">
        <v>14</v>
      </c>
      <c r="F419581" s="9" t="s">
        <v>22</v>
      </c>
      <c r="G419581">
        <v>1</v>
      </c>
      <c r="J419581" s="7">
        <v>1.62</v>
      </c>
      <c r="K419581" s="11">
        <v>2026</v>
      </c>
      <c r="L419581" t="s">
        <v>16</v>
      </c>
      <c r="M419581" t="s">
        <v>17</v>
      </c>
    </row>
    <row r="419582" spans="1:13" x14ac:dyDescent="0.25">
      <c r="A419582" s="6">
        <v>46156.083333333336</v>
      </c>
      <c r="B419582" s="11">
        <f t="shared" si="175"/>
        <v>5</v>
      </c>
      <c r="C419582" s="11">
        <f t="shared" si="176"/>
        <v>20</v>
      </c>
      <c r="D419582" s="5" t="s">
        <v>13</v>
      </c>
      <c r="E419582" s="11" t="s">
        <v>14</v>
      </c>
      <c r="F419582" s="9" t="s">
        <v>22</v>
      </c>
      <c r="G419582">
        <v>1</v>
      </c>
      <c r="J419582" s="7">
        <v>1.5</v>
      </c>
      <c r="K419582" s="11">
        <v>2026</v>
      </c>
      <c r="L419582" t="s">
        <v>16</v>
      </c>
      <c r="M419582" t="s">
        <v>17</v>
      </c>
    </row>
    <row r="419583" spans="1:13" x14ac:dyDescent="0.25">
      <c r="A419583" s="6">
        <v>46156.208333333336</v>
      </c>
      <c r="B419583" s="11">
        <f t="shared" si="175"/>
        <v>5</v>
      </c>
      <c r="C419583" s="11">
        <f t="shared" si="176"/>
        <v>20</v>
      </c>
      <c r="D419583" s="5" t="s">
        <v>13</v>
      </c>
      <c r="E419583" s="11" t="s">
        <v>14</v>
      </c>
      <c r="F419583" s="9" t="s">
        <v>22</v>
      </c>
      <c r="G419583">
        <v>1</v>
      </c>
      <c r="J419583" s="7">
        <v>6.3</v>
      </c>
      <c r="K419583" s="11">
        <v>2026</v>
      </c>
      <c r="L419583" t="s">
        <v>16</v>
      </c>
      <c r="M419583" t="s">
        <v>17</v>
      </c>
    </row>
    <row r="419584" spans="1:13" x14ac:dyDescent="0.25">
      <c r="A419584" s="6">
        <v>46153.416666666664</v>
      </c>
      <c r="B419584" s="11">
        <f t="shared" si="175"/>
        <v>5</v>
      </c>
      <c r="C419584" s="11">
        <f t="shared" si="176"/>
        <v>20</v>
      </c>
      <c r="D419584" s="5" t="s">
        <v>13</v>
      </c>
      <c r="E419584" s="11" t="s">
        <v>14</v>
      </c>
      <c r="F419584" s="9" t="s">
        <v>22</v>
      </c>
      <c r="G419584">
        <v>1</v>
      </c>
      <c r="J419584" s="7">
        <v>4.05</v>
      </c>
      <c r="K419584" s="11">
        <v>2026</v>
      </c>
      <c r="L419584" t="s">
        <v>16</v>
      </c>
      <c r="M419584" t="s">
        <v>17</v>
      </c>
    </row>
    <row r="419585" spans="1:13" x14ac:dyDescent="0.25">
      <c r="A419585" s="6">
        <v>46153.958333333336</v>
      </c>
      <c r="B419585" s="11">
        <f t="shared" si="175"/>
        <v>5</v>
      </c>
      <c r="C419585" s="11">
        <f t="shared" si="176"/>
        <v>20</v>
      </c>
      <c r="D419585" s="5" t="s">
        <v>13</v>
      </c>
      <c r="E419585" s="11" t="s">
        <v>14</v>
      </c>
      <c r="F419585" s="9" t="s">
        <v>15</v>
      </c>
      <c r="G419585">
        <v>1</v>
      </c>
      <c r="J419585" s="7">
        <v>2.4</v>
      </c>
      <c r="K419585" s="11">
        <v>2026</v>
      </c>
      <c r="L419585" t="s">
        <v>16</v>
      </c>
      <c r="M419585" t="s">
        <v>17</v>
      </c>
    </row>
    <row r="419586" spans="1:13" x14ac:dyDescent="0.25">
      <c r="A419586" s="6">
        <v>46156.541666666664</v>
      </c>
      <c r="B419586" s="11">
        <f t="shared" si="175"/>
        <v>5</v>
      </c>
      <c r="C419586" s="11">
        <f t="shared" si="176"/>
        <v>20</v>
      </c>
      <c r="D419586" s="5" t="s">
        <v>13</v>
      </c>
      <c r="E419586" s="11" t="s">
        <v>14</v>
      </c>
      <c r="F419586" s="9" t="s">
        <v>15</v>
      </c>
      <c r="G419586">
        <v>1</v>
      </c>
      <c r="J419586" s="7">
        <v>4.2380000000000004</v>
      </c>
      <c r="K419586" s="11">
        <v>2026</v>
      </c>
      <c r="L419586" t="s">
        <v>16</v>
      </c>
      <c r="M419586" t="s">
        <v>17</v>
      </c>
    </row>
    <row r="419587" spans="1:13" x14ac:dyDescent="0.25">
      <c r="A419587" s="6">
        <v>46156.541666666664</v>
      </c>
      <c r="B419587" s="11">
        <f t="shared" si="175"/>
        <v>5</v>
      </c>
      <c r="C419587" s="11">
        <f t="shared" si="176"/>
        <v>20</v>
      </c>
      <c r="D419587" s="5" t="s">
        <v>13</v>
      </c>
      <c r="E419587" s="11" t="s">
        <v>14</v>
      </c>
      <c r="F419587" s="9" t="s">
        <v>15</v>
      </c>
      <c r="G419587">
        <v>1</v>
      </c>
      <c r="J419587" s="7">
        <v>0.8</v>
      </c>
      <c r="K419587" s="11">
        <v>2026</v>
      </c>
      <c r="L419587" t="s">
        <v>16</v>
      </c>
      <c r="M419587" t="s">
        <v>17</v>
      </c>
    </row>
    <row r="419588" spans="1:13" x14ac:dyDescent="0.25">
      <c r="A419588" s="6">
        <v>46156.208333333336</v>
      </c>
      <c r="B419588" s="11">
        <f t="shared" si="175"/>
        <v>5</v>
      </c>
      <c r="C419588" s="11">
        <f t="shared" si="176"/>
        <v>20</v>
      </c>
      <c r="D419588" s="5" t="s">
        <v>13</v>
      </c>
      <c r="E419588" s="11" t="s">
        <v>14</v>
      </c>
      <c r="F419588" s="9" t="s">
        <v>22</v>
      </c>
      <c r="G419588">
        <v>1</v>
      </c>
      <c r="J419588" s="7">
        <v>10.5</v>
      </c>
      <c r="K419588" s="11">
        <v>2026</v>
      </c>
      <c r="L419588" t="s">
        <v>16</v>
      </c>
      <c r="M419588" t="s">
        <v>17</v>
      </c>
    </row>
    <row r="419589" spans="1:13" x14ac:dyDescent="0.25">
      <c r="A419589" s="6">
        <v>46154.666666666664</v>
      </c>
      <c r="B419589" s="11">
        <f t="shared" si="175"/>
        <v>5</v>
      </c>
      <c r="C419589" s="11">
        <f t="shared" si="176"/>
        <v>20</v>
      </c>
      <c r="D419589" s="5" t="s">
        <v>13</v>
      </c>
      <c r="E419589" s="11" t="s">
        <v>14</v>
      </c>
      <c r="F419589" s="9" t="s">
        <v>15</v>
      </c>
      <c r="G419589">
        <v>1</v>
      </c>
      <c r="J419589" s="7">
        <v>5.23</v>
      </c>
      <c r="K419589" s="11">
        <v>2026</v>
      </c>
      <c r="L419589" t="s">
        <v>16</v>
      </c>
      <c r="M419589" t="s">
        <v>17</v>
      </c>
    </row>
    <row r="419590" spans="1:13" x14ac:dyDescent="0.25">
      <c r="A419590" s="6">
        <v>46153.416666666664</v>
      </c>
      <c r="B419590" s="11">
        <f t="shared" si="175"/>
        <v>5</v>
      </c>
      <c r="C419590" s="11">
        <f t="shared" si="176"/>
        <v>20</v>
      </c>
      <c r="D419590" s="5" t="s">
        <v>13</v>
      </c>
      <c r="E419590" s="11" t="s">
        <v>14</v>
      </c>
      <c r="F419590" s="9" t="s">
        <v>15</v>
      </c>
      <c r="G419590">
        <v>1</v>
      </c>
      <c r="J419590" s="7">
        <v>5.5250000000000004</v>
      </c>
      <c r="K419590" s="11">
        <v>2026</v>
      </c>
      <c r="L419590" t="s">
        <v>16</v>
      </c>
      <c r="M419590" t="s">
        <v>17</v>
      </c>
    </row>
    <row r="419591" spans="1:13" x14ac:dyDescent="0.25">
      <c r="A419591" s="6">
        <v>46156.083333333336</v>
      </c>
      <c r="B419591" s="11">
        <f t="shared" si="175"/>
        <v>5</v>
      </c>
      <c r="C419591" s="11">
        <f t="shared" si="176"/>
        <v>20</v>
      </c>
      <c r="D419591" s="5" t="s">
        <v>13</v>
      </c>
      <c r="E419591" s="11" t="s">
        <v>14</v>
      </c>
      <c r="F419591" s="9" t="s">
        <v>22</v>
      </c>
      <c r="G419591">
        <v>1</v>
      </c>
      <c r="J419591" s="7">
        <v>2.1</v>
      </c>
      <c r="K419591" s="11">
        <v>2026</v>
      </c>
      <c r="L419591" t="s">
        <v>16</v>
      </c>
      <c r="M419591" t="s">
        <v>17</v>
      </c>
    </row>
    <row r="419592" spans="1:13" x14ac:dyDescent="0.25">
      <c r="A419592" s="6">
        <v>46156.541666666664</v>
      </c>
      <c r="B419592" s="11">
        <f t="shared" si="175"/>
        <v>5</v>
      </c>
      <c r="C419592" s="11">
        <f t="shared" si="176"/>
        <v>20</v>
      </c>
      <c r="D419592" s="5" t="s">
        <v>13</v>
      </c>
      <c r="E419592" s="11" t="s">
        <v>14</v>
      </c>
      <c r="F419592" s="9" t="s">
        <v>15</v>
      </c>
      <c r="G419592">
        <v>1</v>
      </c>
      <c r="J419592" s="7">
        <v>2.1</v>
      </c>
      <c r="K419592" s="11">
        <v>2026</v>
      </c>
      <c r="L419592" t="s">
        <v>16</v>
      </c>
      <c r="M419592" t="s">
        <v>17</v>
      </c>
    </row>
    <row r="419593" spans="1:13" x14ac:dyDescent="0.25">
      <c r="A419593" s="6">
        <v>46153.916666666664</v>
      </c>
      <c r="B419593" s="11">
        <f t="shared" si="175"/>
        <v>5</v>
      </c>
      <c r="C419593" s="11">
        <f t="shared" si="176"/>
        <v>20</v>
      </c>
      <c r="D419593" s="5" t="s">
        <v>13</v>
      </c>
      <c r="E419593" s="11" t="s">
        <v>14</v>
      </c>
      <c r="F419593" s="9" t="s">
        <v>22</v>
      </c>
      <c r="G419593">
        <v>1</v>
      </c>
      <c r="J419593" s="7">
        <v>1.5840000000000001</v>
      </c>
      <c r="K419593" s="11">
        <v>2026</v>
      </c>
      <c r="L419593" t="s">
        <v>16</v>
      </c>
      <c r="M419593" t="s">
        <v>17</v>
      </c>
    </row>
    <row r="419594" spans="1:13" x14ac:dyDescent="0.25">
      <c r="A419594" s="6">
        <v>46154.666666666664</v>
      </c>
      <c r="B419594" s="11">
        <f t="shared" si="175"/>
        <v>5</v>
      </c>
      <c r="C419594" s="11">
        <f t="shared" si="176"/>
        <v>20</v>
      </c>
      <c r="D419594" s="5" t="s">
        <v>13</v>
      </c>
      <c r="E419594" s="11" t="s">
        <v>14</v>
      </c>
      <c r="F419594" s="9" t="s">
        <v>15</v>
      </c>
      <c r="G419594">
        <v>1</v>
      </c>
      <c r="J419594" s="7">
        <v>1.5840000000000001</v>
      </c>
      <c r="K419594" s="11">
        <v>2026</v>
      </c>
      <c r="L419594" t="s">
        <v>16</v>
      </c>
      <c r="M419594" t="s">
        <v>17</v>
      </c>
    </row>
    <row r="419595" spans="1:13" x14ac:dyDescent="0.25">
      <c r="A419595" s="6">
        <v>46154.666666666664</v>
      </c>
      <c r="B419595" s="11">
        <f t="shared" si="175"/>
        <v>5</v>
      </c>
      <c r="C419595" s="11">
        <f t="shared" si="176"/>
        <v>20</v>
      </c>
      <c r="D419595" s="5" t="s">
        <v>13</v>
      </c>
      <c r="E419595" s="11" t="s">
        <v>14</v>
      </c>
      <c r="F419595" s="9" t="s">
        <v>15</v>
      </c>
      <c r="G419595">
        <v>1</v>
      </c>
      <c r="J419595" s="7">
        <v>2.9969999999999999</v>
      </c>
      <c r="K419595" s="11">
        <v>2026</v>
      </c>
      <c r="L419595" t="s">
        <v>16</v>
      </c>
      <c r="M419595" t="s">
        <v>17</v>
      </c>
    </row>
    <row r="419596" spans="1:13" x14ac:dyDescent="0.25">
      <c r="A419596" s="6">
        <v>46154.666666666664</v>
      </c>
      <c r="B419596" s="11">
        <f t="shared" si="175"/>
        <v>5</v>
      </c>
      <c r="C419596" s="11">
        <f t="shared" si="176"/>
        <v>20</v>
      </c>
      <c r="D419596" s="5" t="s">
        <v>13</v>
      </c>
      <c r="E419596" s="11" t="s">
        <v>14</v>
      </c>
      <c r="F419596" s="9" t="s">
        <v>22</v>
      </c>
      <c r="G419596">
        <v>1</v>
      </c>
      <c r="J419596" s="7">
        <v>1.044</v>
      </c>
      <c r="K419596" s="11">
        <v>2026</v>
      </c>
      <c r="L419596" t="s">
        <v>16</v>
      </c>
      <c r="M419596" t="s">
        <v>17</v>
      </c>
    </row>
    <row r="419597" spans="1:13" x14ac:dyDescent="0.25">
      <c r="A419597" s="6">
        <v>46157</v>
      </c>
      <c r="B419597" s="11">
        <f t="shared" si="175"/>
        <v>5</v>
      </c>
      <c r="C419597" s="11">
        <f t="shared" si="176"/>
        <v>20</v>
      </c>
      <c r="D419597" s="5" t="s">
        <v>13</v>
      </c>
      <c r="E419597" s="11" t="s">
        <v>14</v>
      </c>
      <c r="F419597" s="9" t="s">
        <v>22</v>
      </c>
      <c r="G419597">
        <v>1</v>
      </c>
      <c r="J419597" s="7">
        <v>0.434</v>
      </c>
      <c r="K419597" s="11">
        <v>2026</v>
      </c>
      <c r="L419597" t="s">
        <v>16</v>
      </c>
      <c r="M419597" t="s">
        <v>17</v>
      </c>
    </row>
    <row r="419598" spans="1:13" x14ac:dyDescent="0.25">
      <c r="A419598" s="6">
        <v>46155</v>
      </c>
      <c r="B419598" s="11">
        <f t="shared" si="175"/>
        <v>5</v>
      </c>
      <c r="C419598" s="11">
        <f t="shared" si="176"/>
        <v>20</v>
      </c>
      <c r="D419598" s="5" t="s">
        <v>13</v>
      </c>
      <c r="E419598" s="11" t="s">
        <v>14</v>
      </c>
      <c r="F419598" s="9" t="s">
        <v>15</v>
      </c>
      <c r="G419598">
        <v>1</v>
      </c>
      <c r="J419598" s="7">
        <v>12.946999999999999</v>
      </c>
      <c r="K419598" s="11">
        <v>2026</v>
      </c>
      <c r="L419598" t="s">
        <v>16</v>
      </c>
      <c r="M419598" t="s">
        <v>17</v>
      </c>
    </row>
    <row r="419599" spans="1:13" x14ac:dyDescent="0.25">
      <c r="A419599" s="6">
        <v>46156.791666666664</v>
      </c>
      <c r="B419599" s="11">
        <f t="shared" si="175"/>
        <v>5</v>
      </c>
      <c r="C419599" s="11">
        <f t="shared" si="176"/>
        <v>20</v>
      </c>
      <c r="D419599" s="5" t="s">
        <v>13</v>
      </c>
      <c r="E419599" s="11" t="s">
        <v>14</v>
      </c>
      <c r="F419599" s="9" t="s">
        <v>22</v>
      </c>
      <c r="G419599">
        <v>1</v>
      </c>
      <c r="J419599" s="7">
        <v>9.6579999999999995</v>
      </c>
      <c r="K419599" s="11">
        <v>2026</v>
      </c>
      <c r="L419599" t="s">
        <v>16</v>
      </c>
      <c r="M419599" t="s">
        <v>17</v>
      </c>
    </row>
    <row r="419600" spans="1:13" x14ac:dyDescent="0.25">
      <c r="A419600" s="6">
        <v>46156</v>
      </c>
      <c r="B419600" s="11">
        <f t="shared" ref="B419600" si="177">MONTH(A419600)</f>
        <v>5</v>
      </c>
      <c r="C419600" s="11">
        <f t="shared" ref="C419600" si="178">WEEKNUM(A419600)</f>
        <v>20</v>
      </c>
      <c r="D419600" s="5" t="s">
        <v>13</v>
      </c>
      <c r="E419600" s="11" t="s">
        <v>14</v>
      </c>
      <c r="F419600" s="9" t="s">
        <v>22</v>
      </c>
      <c r="G419600">
        <v>1</v>
      </c>
      <c r="J419600" s="7">
        <v>6.9429999999999996</v>
      </c>
      <c r="K419600" s="11">
        <v>2026</v>
      </c>
      <c r="L419600" t="s">
        <v>25</v>
      </c>
      <c r="M419600" t="s">
        <v>17</v>
      </c>
    </row>
    <row r="419601" spans="1:13" x14ac:dyDescent="0.25">
      <c r="A419601" s="6">
        <v>46152</v>
      </c>
      <c r="B419601" s="11">
        <f t="shared" ref="B419601:B419664" si="179">MONTH(A419601)</f>
        <v>5</v>
      </c>
      <c r="C419601" s="11">
        <f t="shared" ref="C419601:C419664" si="180">WEEKNUM(A419601)</f>
        <v>20</v>
      </c>
      <c r="D419601" s="5" t="s">
        <v>13</v>
      </c>
      <c r="E419601" s="11" t="s">
        <v>14</v>
      </c>
      <c r="F419601" s="9" t="s">
        <v>22</v>
      </c>
      <c r="G419601">
        <v>1</v>
      </c>
      <c r="J419601" s="7">
        <v>5.4</v>
      </c>
      <c r="K419601" s="11">
        <v>2026</v>
      </c>
      <c r="L419601" t="s">
        <v>25</v>
      </c>
      <c r="M419601" t="s">
        <v>17</v>
      </c>
    </row>
    <row r="419602" spans="1:13" x14ac:dyDescent="0.25">
      <c r="A419602" s="6">
        <v>46156</v>
      </c>
      <c r="B419602" s="11">
        <f t="shared" si="179"/>
        <v>5</v>
      </c>
      <c r="C419602" s="11">
        <f t="shared" si="180"/>
        <v>20</v>
      </c>
      <c r="D419602" s="5" t="s">
        <v>13</v>
      </c>
      <c r="E419602" s="11" t="s">
        <v>14</v>
      </c>
      <c r="F419602" s="9" t="s">
        <v>22</v>
      </c>
      <c r="G419602">
        <v>1</v>
      </c>
      <c r="J419602" s="7">
        <v>11.327999999999999</v>
      </c>
      <c r="K419602" s="11">
        <v>2026</v>
      </c>
      <c r="L419602" t="s">
        <v>25</v>
      </c>
      <c r="M419602" t="s">
        <v>17</v>
      </c>
    </row>
    <row r="419603" spans="1:13" x14ac:dyDescent="0.25">
      <c r="A419603" s="6">
        <v>46156</v>
      </c>
      <c r="B419603" s="11">
        <f t="shared" si="179"/>
        <v>5</v>
      </c>
      <c r="C419603" s="11">
        <f t="shared" si="180"/>
        <v>20</v>
      </c>
      <c r="D419603" s="5" t="s">
        <v>13</v>
      </c>
      <c r="E419603" s="11" t="s">
        <v>14</v>
      </c>
      <c r="F419603" s="9" t="s">
        <v>22</v>
      </c>
      <c r="G419603">
        <v>1</v>
      </c>
      <c r="J419603" s="7">
        <v>8.3320000000000007</v>
      </c>
      <c r="K419603" s="11">
        <v>2026</v>
      </c>
      <c r="L419603" t="s">
        <v>25</v>
      </c>
      <c r="M419603" t="s">
        <v>17</v>
      </c>
    </row>
    <row r="419604" spans="1:13" x14ac:dyDescent="0.25">
      <c r="A419604" s="6">
        <v>46158.041666666664</v>
      </c>
      <c r="B419604" s="11">
        <f t="shared" si="179"/>
        <v>5</v>
      </c>
      <c r="C419604" s="11">
        <f t="shared" si="180"/>
        <v>20</v>
      </c>
      <c r="D419604" s="5" t="s">
        <v>18</v>
      </c>
      <c r="E419604" s="11" t="s">
        <v>14</v>
      </c>
      <c r="F419604" s="9" t="s">
        <v>15</v>
      </c>
      <c r="G419604">
        <v>1</v>
      </c>
      <c r="J419604" s="7">
        <v>2.0369999999999999</v>
      </c>
      <c r="K419604" s="11">
        <v>2026</v>
      </c>
      <c r="L419604" t="s">
        <v>25</v>
      </c>
      <c r="M419604" t="s">
        <v>17</v>
      </c>
    </row>
    <row r="419605" spans="1:13" x14ac:dyDescent="0.25">
      <c r="A419605" s="6">
        <v>46158.041666666664</v>
      </c>
      <c r="B419605" s="11">
        <f t="shared" si="179"/>
        <v>5</v>
      </c>
      <c r="C419605" s="11">
        <f t="shared" si="180"/>
        <v>20</v>
      </c>
      <c r="D419605" s="5" t="s">
        <v>18</v>
      </c>
      <c r="E419605" s="11" t="s">
        <v>14</v>
      </c>
      <c r="F419605" s="9" t="s">
        <v>15</v>
      </c>
      <c r="G419605">
        <v>1</v>
      </c>
      <c r="J419605" s="7">
        <v>13.416</v>
      </c>
      <c r="K419605" s="11">
        <v>2026</v>
      </c>
      <c r="L419605" t="s">
        <v>25</v>
      </c>
      <c r="M419605" t="s">
        <v>17</v>
      </c>
    </row>
    <row r="419606" spans="1:13" x14ac:dyDescent="0.25">
      <c r="A419606" s="6">
        <v>46158.041666666664</v>
      </c>
      <c r="B419606" s="11">
        <f t="shared" si="179"/>
        <v>5</v>
      </c>
      <c r="C419606" s="11">
        <f t="shared" si="180"/>
        <v>20</v>
      </c>
      <c r="D419606" s="5" t="s">
        <v>18</v>
      </c>
      <c r="E419606" s="11" t="s">
        <v>14</v>
      </c>
      <c r="F419606" s="9" t="s">
        <v>15</v>
      </c>
      <c r="G419606">
        <v>1</v>
      </c>
      <c r="J419606" s="7">
        <v>1.6539999999999999</v>
      </c>
      <c r="K419606" s="11">
        <v>2026</v>
      </c>
      <c r="L419606" t="s">
        <v>25</v>
      </c>
      <c r="M419606" t="s">
        <v>17</v>
      </c>
    </row>
    <row r="419607" spans="1:13" x14ac:dyDescent="0.25">
      <c r="A419607" s="6">
        <v>46158.041666666664</v>
      </c>
      <c r="B419607" s="11">
        <f t="shared" si="179"/>
        <v>5</v>
      </c>
      <c r="C419607" s="11">
        <f t="shared" si="180"/>
        <v>20</v>
      </c>
      <c r="D419607" s="5" t="s">
        <v>18</v>
      </c>
      <c r="E419607" s="11" t="s">
        <v>14</v>
      </c>
      <c r="F419607" s="9" t="s">
        <v>15</v>
      </c>
      <c r="G419607">
        <v>1</v>
      </c>
      <c r="J419607" s="7">
        <v>16.658000000000001</v>
      </c>
      <c r="K419607" s="11">
        <v>2026</v>
      </c>
      <c r="L419607" t="s">
        <v>25</v>
      </c>
      <c r="M419607" t="s">
        <v>17</v>
      </c>
    </row>
    <row r="419608" spans="1:13" x14ac:dyDescent="0.25">
      <c r="A419608" s="6">
        <v>46158.041666666664</v>
      </c>
      <c r="B419608" s="11">
        <f t="shared" si="179"/>
        <v>5</v>
      </c>
      <c r="C419608" s="11">
        <f t="shared" si="180"/>
        <v>20</v>
      </c>
      <c r="D419608" s="5" t="s">
        <v>18</v>
      </c>
      <c r="E419608" s="11" t="s">
        <v>14</v>
      </c>
      <c r="F419608" s="9" t="s">
        <v>15</v>
      </c>
      <c r="G419608">
        <v>1</v>
      </c>
      <c r="J419608" s="7">
        <v>0.88100000000000001</v>
      </c>
      <c r="K419608" s="11">
        <v>2026</v>
      </c>
      <c r="L419608" t="s">
        <v>25</v>
      </c>
      <c r="M419608" t="s">
        <v>17</v>
      </c>
    </row>
    <row r="419609" spans="1:13" x14ac:dyDescent="0.25">
      <c r="A419609" s="6">
        <v>46158.041666666664</v>
      </c>
      <c r="B419609" s="11">
        <f t="shared" si="179"/>
        <v>5</v>
      </c>
      <c r="C419609" s="11">
        <f t="shared" si="180"/>
        <v>20</v>
      </c>
      <c r="D419609" s="5" t="s">
        <v>18</v>
      </c>
      <c r="E419609" s="11" t="s">
        <v>14</v>
      </c>
      <c r="F419609" s="9" t="s">
        <v>15</v>
      </c>
      <c r="G419609">
        <v>1</v>
      </c>
      <c r="J419609" s="7">
        <v>0.65100000000000002</v>
      </c>
      <c r="K419609" s="11">
        <v>2026</v>
      </c>
      <c r="L419609" t="s">
        <v>25</v>
      </c>
      <c r="M419609" t="s">
        <v>17</v>
      </c>
    </row>
    <row r="419610" spans="1:13" x14ac:dyDescent="0.25">
      <c r="A419610" s="6">
        <v>46158.041666666664</v>
      </c>
      <c r="B419610" s="11">
        <f t="shared" si="179"/>
        <v>5</v>
      </c>
      <c r="C419610" s="11">
        <f t="shared" si="180"/>
        <v>20</v>
      </c>
      <c r="D419610" s="5" t="s">
        <v>18</v>
      </c>
      <c r="E419610" s="11" t="s">
        <v>14</v>
      </c>
      <c r="F419610" s="9" t="s">
        <v>15</v>
      </c>
      <c r="G419610">
        <v>1</v>
      </c>
      <c r="J419610" s="7">
        <v>3.8130000000000002</v>
      </c>
      <c r="K419610" s="11">
        <v>2026</v>
      </c>
      <c r="L419610" t="s">
        <v>25</v>
      </c>
      <c r="M419610" t="s">
        <v>17</v>
      </c>
    </row>
    <row r="419611" spans="1:13" x14ac:dyDescent="0.25">
      <c r="A419611" s="6">
        <v>46158.041666666664</v>
      </c>
      <c r="B419611" s="11">
        <f t="shared" si="179"/>
        <v>5</v>
      </c>
      <c r="C419611" s="11">
        <f t="shared" si="180"/>
        <v>20</v>
      </c>
      <c r="D419611" s="5" t="s">
        <v>18</v>
      </c>
      <c r="E419611" s="11" t="s">
        <v>14</v>
      </c>
      <c r="F419611" s="9" t="s">
        <v>15</v>
      </c>
      <c r="G419611">
        <v>1</v>
      </c>
      <c r="J419611" s="7">
        <v>0.57899999999999996</v>
      </c>
      <c r="K419611" s="11">
        <v>2026</v>
      </c>
      <c r="L419611" t="s">
        <v>25</v>
      </c>
      <c r="M419611" t="s">
        <v>17</v>
      </c>
    </row>
    <row r="419612" spans="1:13" x14ac:dyDescent="0.25">
      <c r="A419612" s="6">
        <v>46158.041666666664</v>
      </c>
      <c r="B419612" s="11">
        <f t="shared" si="179"/>
        <v>5</v>
      </c>
      <c r="C419612" s="11">
        <f t="shared" si="180"/>
        <v>20</v>
      </c>
      <c r="D419612" s="5" t="s">
        <v>18</v>
      </c>
      <c r="E419612" s="11" t="s">
        <v>14</v>
      </c>
      <c r="F419612" s="9" t="s">
        <v>15</v>
      </c>
      <c r="G419612">
        <v>1</v>
      </c>
      <c r="J419612" s="7">
        <v>3.298</v>
      </c>
      <c r="K419612" s="11">
        <v>2026</v>
      </c>
      <c r="L419612" t="s">
        <v>25</v>
      </c>
      <c r="M419612" t="s">
        <v>17</v>
      </c>
    </row>
    <row r="419613" spans="1:13" x14ac:dyDescent="0.25">
      <c r="A419613" s="6">
        <v>46152</v>
      </c>
      <c r="B419613" s="11">
        <f t="shared" si="179"/>
        <v>5</v>
      </c>
      <c r="C419613" s="11">
        <f t="shared" si="180"/>
        <v>20</v>
      </c>
      <c r="D419613" s="5" t="s">
        <v>18</v>
      </c>
      <c r="E419613" s="11" t="s">
        <v>14</v>
      </c>
      <c r="F419613" s="9" t="s">
        <v>22</v>
      </c>
      <c r="G419613">
        <v>1</v>
      </c>
      <c r="J419613" s="7">
        <v>1.728</v>
      </c>
      <c r="K419613" s="11">
        <v>2026</v>
      </c>
      <c r="L419613" t="s">
        <v>25</v>
      </c>
      <c r="M419613" t="s">
        <v>17</v>
      </c>
    </row>
    <row r="419614" spans="1:13" x14ac:dyDescent="0.25">
      <c r="A419614" s="6">
        <v>46158</v>
      </c>
      <c r="B419614" s="11">
        <f t="shared" si="179"/>
        <v>5</v>
      </c>
      <c r="C419614" s="11">
        <f t="shared" si="180"/>
        <v>20</v>
      </c>
      <c r="D419614" s="5" t="s">
        <v>20</v>
      </c>
      <c r="E419614" s="11" t="s">
        <v>14</v>
      </c>
      <c r="F419614" s="9" t="s">
        <v>22</v>
      </c>
      <c r="G419614">
        <v>1</v>
      </c>
      <c r="J419614" s="7">
        <v>9.6</v>
      </c>
      <c r="K419614" s="11">
        <v>2026</v>
      </c>
      <c r="L419614" t="s">
        <v>25</v>
      </c>
      <c r="M419614" t="s">
        <v>17</v>
      </c>
    </row>
    <row r="419615" spans="1:13" x14ac:dyDescent="0.25">
      <c r="A419615" s="6">
        <v>46156.208333333336</v>
      </c>
      <c r="B419615" s="11">
        <f t="shared" si="179"/>
        <v>5</v>
      </c>
      <c r="C419615" s="11">
        <f t="shared" si="180"/>
        <v>20</v>
      </c>
      <c r="D419615" s="5" t="s">
        <v>13</v>
      </c>
      <c r="E419615" s="11" t="s">
        <v>14</v>
      </c>
      <c r="F419615" s="9" t="s">
        <v>15</v>
      </c>
      <c r="G419615">
        <v>1</v>
      </c>
      <c r="J419615" s="7">
        <v>1.0940000000000001</v>
      </c>
      <c r="K419615" s="11">
        <v>2026</v>
      </c>
      <c r="L419615" t="s">
        <v>25</v>
      </c>
      <c r="M419615" t="s">
        <v>17</v>
      </c>
    </row>
    <row r="419616" spans="1:13" x14ac:dyDescent="0.25">
      <c r="A419616" s="6">
        <v>46156.208333333336</v>
      </c>
      <c r="B419616" s="11">
        <f t="shared" si="179"/>
        <v>5</v>
      </c>
      <c r="C419616" s="11">
        <f t="shared" si="180"/>
        <v>20</v>
      </c>
      <c r="D419616" s="5" t="s">
        <v>13</v>
      </c>
      <c r="E419616" s="11" t="s">
        <v>14</v>
      </c>
      <c r="F419616" s="9" t="s">
        <v>15</v>
      </c>
      <c r="G419616">
        <v>1</v>
      </c>
      <c r="J419616" s="7">
        <v>0.78</v>
      </c>
      <c r="K419616" s="11">
        <v>2026</v>
      </c>
      <c r="L419616" t="s">
        <v>25</v>
      </c>
      <c r="M419616" t="s">
        <v>17</v>
      </c>
    </row>
    <row r="419617" spans="1:13" x14ac:dyDescent="0.25">
      <c r="A419617" s="6">
        <v>46156.208333333336</v>
      </c>
      <c r="B419617" s="11">
        <f t="shared" si="179"/>
        <v>5</v>
      </c>
      <c r="C419617" s="11">
        <f t="shared" si="180"/>
        <v>20</v>
      </c>
      <c r="D419617" s="5" t="s">
        <v>13</v>
      </c>
      <c r="E419617" s="11" t="s">
        <v>14</v>
      </c>
      <c r="F419617" s="9" t="s">
        <v>15</v>
      </c>
      <c r="G419617">
        <v>1</v>
      </c>
      <c r="J419617" s="7">
        <v>1.9059999999999999</v>
      </c>
      <c r="K419617" s="11">
        <v>2026</v>
      </c>
      <c r="L419617" t="s">
        <v>25</v>
      </c>
      <c r="M419617" t="s">
        <v>17</v>
      </c>
    </row>
    <row r="419618" spans="1:13" x14ac:dyDescent="0.25">
      <c r="A419618" s="6">
        <v>46154</v>
      </c>
      <c r="B419618" s="11">
        <f t="shared" si="179"/>
        <v>5</v>
      </c>
      <c r="C419618" s="11">
        <f t="shared" si="180"/>
        <v>20</v>
      </c>
      <c r="D419618" s="5" t="s">
        <v>21</v>
      </c>
      <c r="E419618" s="11" t="s">
        <v>14</v>
      </c>
      <c r="F419618" s="9" t="s">
        <v>22</v>
      </c>
      <c r="G419618">
        <v>1</v>
      </c>
      <c r="J419618" s="7">
        <v>0.27200000000000002</v>
      </c>
      <c r="K419618" s="11">
        <v>2026</v>
      </c>
      <c r="L419618" t="s">
        <v>25</v>
      </c>
      <c r="M419618" t="s">
        <v>17</v>
      </c>
    </row>
    <row r="419619" spans="1:13" x14ac:dyDescent="0.25">
      <c r="A419619" s="6">
        <v>46156.208333333336</v>
      </c>
      <c r="B419619" s="11">
        <f t="shared" si="179"/>
        <v>5</v>
      </c>
      <c r="C419619" s="11">
        <f t="shared" si="180"/>
        <v>20</v>
      </c>
      <c r="D419619" s="5" t="s">
        <v>13</v>
      </c>
      <c r="E419619" s="11" t="s">
        <v>14</v>
      </c>
      <c r="F419619" s="9" t="s">
        <v>15</v>
      </c>
      <c r="G419619">
        <v>1</v>
      </c>
      <c r="J419619" s="7">
        <v>1.542</v>
      </c>
      <c r="K419619" s="11">
        <v>2026</v>
      </c>
      <c r="L419619" t="s">
        <v>25</v>
      </c>
      <c r="M419619" t="s">
        <v>17</v>
      </c>
    </row>
    <row r="419620" spans="1:13" x14ac:dyDescent="0.25">
      <c r="A419620" s="6">
        <v>46156.208333333336</v>
      </c>
      <c r="B419620" s="11">
        <f t="shared" si="179"/>
        <v>5</v>
      </c>
      <c r="C419620" s="11">
        <f t="shared" si="180"/>
        <v>20</v>
      </c>
      <c r="D419620" s="5" t="s">
        <v>13</v>
      </c>
      <c r="E419620" s="11" t="s">
        <v>14</v>
      </c>
      <c r="F419620" s="9" t="s">
        <v>15</v>
      </c>
      <c r="G419620">
        <v>1</v>
      </c>
      <c r="J419620" s="7">
        <v>7.7080000000000002</v>
      </c>
      <c r="K419620" s="11">
        <v>2026</v>
      </c>
      <c r="L419620" t="s">
        <v>25</v>
      </c>
      <c r="M419620" t="s">
        <v>17</v>
      </c>
    </row>
    <row r="419621" spans="1:13" x14ac:dyDescent="0.25">
      <c r="A419621" s="6">
        <v>46158.357638888891</v>
      </c>
      <c r="B419621" s="11">
        <f t="shared" si="179"/>
        <v>5</v>
      </c>
      <c r="C419621" s="11">
        <f t="shared" si="180"/>
        <v>20</v>
      </c>
      <c r="D419621" s="5" t="s">
        <v>19</v>
      </c>
      <c r="E419621" s="11" t="s">
        <v>14</v>
      </c>
      <c r="F419621" s="9" t="s">
        <v>22</v>
      </c>
      <c r="G419621">
        <v>1</v>
      </c>
      <c r="J419621" s="7">
        <v>2.8420000000000001</v>
      </c>
      <c r="K419621" s="11">
        <v>2026</v>
      </c>
      <c r="L419621" t="s">
        <v>25</v>
      </c>
      <c r="M419621" t="s">
        <v>17</v>
      </c>
    </row>
    <row r="419622" spans="1:13" x14ac:dyDescent="0.25">
      <c r="A419622" s="6">
        <v>46156.208333333336</v>
      </c>
      <c r="B419622" s="11">
        <f t="shared" si="179"/>
        <v>5</v>
      </c>
      <c r="C419622" s="11">
        <f t="shared" si="180"/>
        <v>20</v>
      </c>
      <c r="D419622" s="5" t="s">
        <v>13</v>
      </c>
      <c r="E419622" s="11" t="s">
        <v>14</v>
      </c>
      <c r="F419622" s="9" t="s">
        <v>15</v>
      </c>
      <c r="G419622">
        <v>1</v>
      </c>
      <c r="J419622" s="7">
        <v>4.6289999999999996</v>
      </c>
      <c r="K419622" s="11">
        <v>2026</v>
      </c>
      <c r="L419622" t="s">
        <v>25</v>
      </c>
      <c r="M419622" t="s">
        <v>17</v>
      </c>
    </row>
    <row r="419623" spans="1:13" x14ac:dyDescent="0.25">
      <c r="A419623" s="6">
        <v>46156.208333333336</v>
      </c>
      <c r="B419623" s="11">
        <f t="shared" si="179"/>
        <v>5</v>
      </c>
      <c r="C419623" s="11">
        <f t="shared" si="180"/>
        <v>20</v>
      </c>
      <c r="D419623" s="5" t="s">
        <v>13</v>
      </c>
      <c r="E419623" s="11" t="s">
        <v>14</v>
      </c>
      <c r="F419623" s="9" t="s">
        <v>15</v>
      </c>
      <c r="G419623">
        <v>1</v>
      </c>
      <c r="J419623" s="7">
        <v>7.3170000000000002</v>
      </c>
      <c r="K419623" s="11">
        <v>2026</v>
      </c>
      <c r="L419623" t="s">
        <v>25</v>
      </c>
      <c r="M419623" t="s">
        <v>17</v>
      </c>
    </row>
    <row r="419624" spans="1:13" x14ac:dyDescent="0.25">
      <c r="A419624" s="6">
        <v>46156.208333333336</v>
      </c>
      <c r="B419624" s="11">
        <f t="shared" si="179"/>
        <v>5</v>
      </c>
      <c r="C419624" s="11">
        <f t="shared" si="180"/>
        <v>20</v>
      </c>
      <c r="D419624" s="5" t="s">
        <v>18</v>
      </c>
      <c r="E419624" s="11" t="s">
        <v>14</v>
      </c>
      <c r="F419624" s="9" t="s">
        <v>15</v>
      </c>
      <c r="G419624">
        <v>1</v>
      </c>
      <c r="J419624" s="7">
        <v>3.9950000000000001</v>
      </c>
      <c r="K419624" s="11">
        <v>2026</v>
      </c>
      <c r="L419624" t="s">
        <v>25</v>
      </c>
      <c r="M419624" t="s">
        <v>17</v>
      </c>
    </row>
    <row r="419625" spans="1:13" x14ac:dyDescent="0.25">
      <c r="A419625" s="6">
        <v>46156.208333333336</v>
      </c>
      <c r="B419625" s="11">
        <f t="shared" si="179"/>
        <v>5</v>
      </c>
      <c r="C419625" s="11">
        <f t="shared" si="180"/>
        <v>20</v>
      </c>
      <c r="D419625" s="5" t="s">
        <v>13</v>
      </c>
      <c r="E419625" s="11" t="s">
        <v>14</v>
      </c>
      <c r="F419625" s="9" t="s">
        <v>15</v>
      </c>
      <c r="G419625">
        <v>1</v>
      </c>
      <c r="J419625" s="7">
        <v>1.478</v>
      </c>
      <c r="K419625" s="11">
        <v>2026</v>
      </c>
      <c r="L419625" t="s">
        <v>25</v>
      </c>
      <c r="M419625" t="s">
        <v>17</v>
      </c>
    </row>
    <row r="419626" spans="1:13" x14ac:dyDescent="0.25">
      <c r="A419626" s="6">
        <v>46156.208333333336</v>
      </c>
      <c r="B419626" s="11">
        <f t="shared" si="179"/>
        <v>5</v>
      </c>
      <c r="C419626" s="11">
        <f t="shared" si="180"/>
        <v>20</v>
      </c>
      <c r="D419626" s="5" t="s">
        <v>18</v>
      </c>
      <c r="E419626" s="11" t="s">
        <v>14</v>
      </c>
      <c r="F419626" s="9" t="s">
        <v>15</v>
      </c>
      <c r="G419626">
        <v>1</v>
      </c>
      <c r="J419626" s="7">
        <v>13.688000000000001</v>
      </c>
      <c r="K419626" s="11">
        <v>2026</v>
      </c>
      <c r="L419626" t="s">
        <v>25</v>
      </c>
      <c r="M419626" t="s">
        <v>17</v>
      </c>
    </row>
    <row r="419627" spans="1:13" x14ac:dyDescent="0.25">
      <c r="A419627" s="6">
        <v>46156.208333333336</v>
      </c>
      <c r="B419627" s="11">
        <f t="shared" si="179"/>
        <v>5</v>
      </c>
      <c r="C419627" s="11">
        <f t="shared" si="180"/>
        <v>20</v>
      </c>
      <c r="D419627" s="5" t="s">
        <v>18</v>
      </c>
      <c r="E419627" s="11" t="s">
        <v>14</v>
      </c>
      <c r="F419627" s="9" t="s">
        <v>15</v>
      </c>
      <c r="G419627">
        <v>1</v>
      </c>
      <c r="J419627" s="7">
        <v>2.7839999999999998</v>
      </c>
      <c r="K419627" s="11">
        <v>2026</v>
      </c>
      <c r="L419627" t="s">
        <v>25</v>
      </c>
      <c r="M419627" t="s">
        <v>17</v>
      </c>
    </row>
    <row r="419628" spans="1:13" x14ac:dyDescent="0.25">
      <c r="A419628" s="6">
        <v>46156.208333333336</v>
      </c>
      <c r="B419628" s="11">
        <f t="shared" si="179"/>
        <v>5</v>
      </c>
      <c r="C419628" s="11">
        <f t="shared" si="180"/>
        <v>20</v>
      </c>
      <c r="D419628" s="5" t="s">
        <v>18</v>
      </c>
      <c r="E419628" s="11" t="s">
        <v>14</v>
      </c>
      <c r="F419628" s="9" t="s">
        <v>15</v>
      </c>
      <c r="G419628">
        <v>1</v>
      </c>
      <c r="J419628" s="7">
        <v>13.688000000000001</v>
      </c>
      <c r="K419628" s="11">
        <v>2026</v>
      </c>
      <c r="L419628" t="s">
        <v>25</v>
      </c>
      <c r="M419628" t="s">
        <v>17</v>
      </c>
    </row>
    <row r="419629" spans="1:13" x14ac:dyDescent="0.25">
      <c r="A419629" s="6">
        <v>46156.208333333336</v>
      </c>
      <c r="B419629" s="11">
        <f t="shared" si="179"/>
        <v>5</v>
      </c>
      <c r="C419629" s="11">
        <f t="shared" si="180"/>
        <v>20</v>
      </c>
      <c r="D419629" s="5" t="s">
        <v>18</v>
      </c>
      <c r="E419629" s="11" t="s">
        <v>14</v>
      </c>
      <c r="F419629" s="9" t="s">
        <v>15</v>
      </c>
      <c r="G419629">
        <v>1</v>
      </c>
      <c r="J419629" s="7">
        <v>0.61399999999999999</v>
      </c>
      <c r="K419629" s="11">
        <v>2026</v>
      </c>
      <c r="L419629" t="s">
        <v>25</v>
      </c>
      <c r="M419629" t="s">
        <v>17</v>
      </c>
    </row>
    <row r="419630" spans="1:13" x14ac:dyDescent="0.25">
      <c r="A419630" s="6">
        <v>46158.041666666664</v>
      </c>
      <c r="B419630" s="11">
        <f t="shared" si="179"/>
        <v>5</v>
      </c>
      <c r="C419630" s="11">
        <f t="shared" si="180"/>
        <v>20</v>
      </c>
      <c r="D419630" s="5" t="s">
        <v>20</v>
      </c>
      <c r="E419630" s="11" t="s">
        <v>14</v>
      </c>
      <c r="F419630" s="9" t="s">
        <v>22</v>
      </c>
      <c r="G419630">
        <v>1</v>
      </c>
      <c r="J419630" s="7">
        <v>0.96699999999999997</v>
      </c>
      <c r="K419630" s="11">
        <v>2026</v>
      </c>
      <c r="L419630" t="s">
        <v>25</v>
      </c>
      <c r="M419630" t="s">
        <v>17</v>
      </c>
    </row>
    <row r="419631" spans="1:13" x14ac:dyDescent="0.25">
      <c r="A419631" s="6">
        <v>46158</v>
      </c>
      <c r="B419631" s="11">
        <f t="shared" si="179"/>
        <v>5</v>
      </c>
      <c r="C419631" s="11">
        <f t="shared" si="180"/>
        <v>20</v>
      </c>
      <c r="D419631" s="5" t="s">
        <v>13</v>
      </c>
      <c r="E419631" s="11" t="s">
        <v>14</v>
      </c>
      <c r="F419631" s="9" t="s">
        <v>22</v>
      </c>
      <c r="G419631">
        <v>1</v>
      </c>
      <c r="J419631" s="7">
        <v>2.323</v>
      </c>
      <c r="K419631" s="11">
        <v>2026</v>
      </c>
      <c r="L419631" t="s">
        <v>25</v>
      </c>
      <c r="M419631" t="s">
        <v>17</v>
      </c>
    </row>
    <row r="419632" spans="1:13" x14ac:dyDescent="0.25">
      <c r="A419632" s="6">
        <v>46155.958333333336</v>
      </c>
      <c r="B419632" s="11">
        <f t="shared" si="179"/>
        <v>5</v>
      </c>
      <c r="C419632" s="11">
        <f t="shared" si="180"/>
        <v>20</v>
      </c>
      <c r="D419632" s="5" t="s">
        <v>18</v>
      </c>
      <c r="E419632" s="11" t="s">
        <v>14</v>
      </c>
      <c r="F419632" s="9" t="s">
        <v>15</v>
      </c>
      <c r="G419632">
        <v>1</v>
      </c>
      <c r="J419632" s="7">
        <v>0.11</v>
      </c>
      <c r="K419632" s="11">
        <v>2026</v>
      </c>
      <c r="L419632" t="s">
        <v>25</v>
      </c>
      <c r="M419632" t="s">
        <v>17</v>
      </c>
    </row>
    <row r="419633" spans="1:13" x14ac:dyDescent="0.25">
      <c r="A419633" s="6">
        <v>46155.958333333336</v>
      </c>
      <c r="B419633" s="11">
        <f t="shared" si="179"/>
        <v>5</v>
      </c>
      <c r="C419633" s="11">
        <f t="shared" si="180"/>
        <v>20</v>
      </c>
      <c r="D419633" s="5" t="s">
        <v>13</v>
      </c>
      <c r="E419633" s="11" t="s">
        <v>14</v>
      </c>
      <c r="F419633" s="9" t="s">
        <v>15</v>
      </c>
      <c r="G419633">
        <v>1</v>
      </c>
      <c r="J419633" s="7">
        <v>9.27</v>
      </c>
      <c r="K419633" s="11">
        <v>2026</v>
      </c>
      <c r="L419633" t="s">
        <v>25</v>
      </c>
      <c r="M419633" t="s">
        <v>17</v>
      </c>
    </row>
    <row r="419634" spans="1:13" x14ac:dyDescent="0.25">
      <c r="A419634" s="6">
        <v>46158</v>
      </c>
      <c r="B419634" s="11">
        <f t="shared" si="179"/>
        <v>5</v>
      </c>
      <c r="C419634" s="11">
        <f t="shared" si="180"/>
        <v>20</v>
      </c>
      <c r="D419634" s="5" t="s">
        <v>18</v>
      </c>
      <c r="E419634" s="11" t="s">
        <v>14</v>
      </c>
      <c r="F419634" s="9" t="s">
        <v>15</v>
      </c>
      <c r="G419634">
        <v>1</v>
      </c>
      <c r="J419634" s="7">
        <v>6.3120000000000003</v>
      </c>
      <c r="K419634" s="11">
        <v>2026</v>
      </c>
      <c r="L419634" t="s">
        <v>25</v>
      </c>
      <c r="M419634" t="s">
        <v>17</v>
      </c>
    </row>
    <row r="419635" spans="1:13" x14ac:dyDescent="0.25">
      <c r="A419635" s="6">
        <v>46158</v>
      </c>
      <c r="B419635" s="11">
        <f t="shared" si="179"/>
        <v>5</v>
      </c>
      <c r="C419635" s="11">
        <f t="shared" si="180"/>
        <v>20</v>
      </c>
      <c r="D419635" s="5" t="s">
        <v>18</v>
      </c>
      <c r="E419635" s="11" t="s">
        <v>14</v>
      </c>
      <c r="F419635" s="9" t="s">
        <v>15</v>
      </c>
      <c r="G419635">
        <v>1</v>
      </c>
      <c r="J419635" s="7">
        <v>4.2039999999999997</v>
      </c>
      <c r="K419635" s="11">
        <v>2026</v>
      </c>
      <c r="L419635" t="s">
        <v>25</v>
      </c>
      <c r="M419635" t="s">
        <v>17</v>
      </c>
    </row>
    <row r="419636" spans="1:13" x14ac:dyDescent="0.25">
      <c r="A419636" s="6">
        <v>46158</v>
      </c>
      <c r="B419636" s="11">
        <f t="shared" si="179"/>
        <v>5</v>
      </c>
      <c r="C419636" s="11">
        <f t="shared" si="180"/>
        <v>20</v>
      </c>
      <c r="D419636" s="5" t="s">
        <v>18</v>
      </c>
      <c r="E419636" s="11" t="s">
        <v>14</v>
      </c>
      <c r="F419636" s="9" t="s">
        <v>15</v>
      </c>
      <c r="G419636">
        <v>1</v>
      </c>
      <c r="J419636" s="7">
        <v>3.84</v>
      </c>
      <c r="K419636" s="11">
        <v>2026</v>
      </c>
      <c r="L419636" t="s">
        <v>25</v>
      </c>
      <c r="M419636" t="s">
        <v>17</v>
      </c>
    </row>
    <row r="419637" spans="1:13" x14ac:dyDescent="0.25">
      <c r="A419637" s="6">
        <v>46158</v>
      </c>
      <c r="B419637" s="11">
        <f t="shared" si="179"/>
        <v>5</v>
      </c>
      <c r="C419637" s="11">
        <f t="shared" si="180"/>
        <v>20</v>
      </c>
      <c r="D419637" s="5" t="s">
        <v>13</v>
      </c>
      <c r="E419637" s="11" t="s">
        <v>14</v>
      </c>
      <c r="F419637" s="9" t="s">
        <v>15</v>
      </c>
      <c r="G419637">
        <v>1</v>
      </c>
      <c r="J419637" s="7">
        <v>5.1059999999999999</v>
      </c>
      <c r="K419637" s="11">
        <v>2026</v>
      </c>
      <c r="L419637" t="s">
        <v>25</v>
      </c>
      <c r="M419637" t="s">
        <v>17</v>
      </c>
    </row>
    <row r="419638" spans="1:13" x14ac:dyDescent="0.25">
      <c r="A419638" s="6">
        <v>46154</v>
      </c>
      <c r="B419638" s="11">
        <f t="shared" si="179"/>
        <v>5</v>
      </c>
      <c r="C419638" s="11">
        <f t="shared" si="180"/>
        <v>20</v>
      </c>
      <c r="D419638" s="5" t="s">
        <v>26</v>
      </c>
      <c r="E419638" s="11" t="s">
        <v>14</v>
      </c>
      <c r="F419638" s="9" t="s">
        <v>22</v>
      </c>
      <c r="G419638">
        <v>1</v>
      </c>
      <c r="J419638" s="7">
        <v>2.1560000000000001</v>
      </c>
      <c r="K419638" s="11">
        <v>2026</v>
      </c>
      <c r="L419638" t="s">
        <v>25</v>
      </c>
      <c r="M419638" t="s">
        <v>17</v>
      </c>
    </row>
    <row r="419639" spans="1:13" x14ac:dyDescent="0.25">
      <c r="A419639" s="6">
        <v>46153.208333333336</v>
      </c>
      <c r="B419639" s="11">
        <f t="shared" si="179"/>
        <v>5</v>
      </c>
      <c r="C419639" s="11">
        <f t="shared" si="180"/>
        <v>20</v>
      </c>
      <c r="D419639" s="5" t="s">
        <v>23</v>
      </c>
      <c r="E419639" s="11" t="s">
        <v>14</v>
      </c>
      <c r="F419639" s="9" t="s">
        <v>22</v>
      </c>
      <c r="G419639">
        <v>1</v>
      </c>
      <c r="J419639" s="7">
        <v>1.536</v>
      </c>
      <c r="K419639" s="11">
        <v>2026</v>
      </c>
      <c r="L419639" t="s">
        <v>25</v>
      </c>
      <c r="M419639" t="s">
        <v>17</v>
      </c>
    </row>
    <row r="419640" spans="1:13" x14ac:dyDescent="0.25">
      <c r="A419640" s="6">
        <v>46153.591666666667</v>
      </c>
      <c r="B419640" s="11">
        <f t="shared" si="179"/>
        <v>5</v>
      </c>
      <c r="C419640" s="11">
        <f t="shared" si="180"/>
        <v>20</v>
      </c>
      <c r="D419640" s="5" t="s">
        <v>23</v>
      </c>
      <c r="E419640" s="11" t="s">
        <v>14</v>
      </c>
      <c r="F419640" s="9" t="s">
        <v>22</v>
      </c>
      <c r="G419640">
        <v>1</v>
      </c>
      <c r="J419640" s="7">
        <v>3.86</v>
      </c>
      <c r="K419640" s="11">
        <v>2026</v>
      </c>
      <c r="L419640" t="s">
        <v>25</v>
      </c>
      <c r="M419640" t="s">
        <v>17</v>
      </c>
    </row>
    <row r="419641" spans="1:13" x14ac:dyDescent="0.25">
      <c r="A419641" s="6">
        <v>46153.591666666667</v>
      </c>
      <c r="B419641" s="11">
        <f t="shared" si="179"/>
        <v>5</v>
      </c>
      <c r="C419641" s="11">
        <f t="shared" si="180"/>
        <v>20</v>
      </c>
      <c r="D419641" s="5" t="s">
        <v>23</v>
      </c>
      <c r="E419641" s="11" t="s">
        <v>14</v>
      </c>
      <c r="F419641" s="9" t="s">
        <v>22</v>
      </c>
      <c r="G419641">
        <v>1</v>
      </c>
      <c r="J419641" s="7">
        <v>6.306</v>
      </c>
      <c r="K419641" s="11">
        <v>2026</v>
      </c>
      <c r="L419641" t="s">
        <v>25</v>
      </c>
      <c r="M419641" t="s">
        <v>17</v>
      </c>
    </row>
    <row r="419642" spans="1:13" x14ac:dyDescent="0.25">
      <c r="A419642" s="6">
        <v>46153.208333333336</v>
      </c>
      <c r="B419642" s="11">
        <f t="shared" si="179"/>
        <v>5</v>
      </c>
      <c r="C419642" s="11">
        <f t="shared" si="180"/>
        <v>20</v>
      </c>
      <c r="D419642" s="5" t="s">
        <v>23</v>
      </c>
      <c r="E419642" s="11" t="s">
        <v>14</v>
      </c>
      <c r="F419642" s="9" t="s">
        <v>22</v>
      </c>
      <c r="G419642">
        <v>1</v>
      </c>
      <c r="J419642" s="7">
        <v>2.6629999999999998</v>
      </c>
      <c r="K419642" s="11">
        <v>2026</v>
      </c>
      <c r="L419642" t="s">
        <v>25</v>
      </c>
      <c r="M419642" t="s">
        <v>17</v>
      </c>
    </row>
    <row r="419643" spans="1:13" x14ac:dyDescent="0.25">
      <c r="A419643" s="6">
        <v>46156.541666666664</v>
      </c>
      <c r="B419643" s="11">
        <f t="shared" si="179"/>
        <v>5</v>
      </c>
      <c r="C419643" s="11">
        <f t="shared" si="180"/>
        <v>20</v>
      </c>
      <c r="D419643" s="5" t="s">
        <v>18</v>
      </c>
      <c r="E419643" s="11" t="s">
        <v>14</v>
      </c>
      <c r="F419643" s="9" t="s">
        <v>15</v>
      </c>
      <c r="G419643">
        <v>1</v>
      </c>
      <c r="J419643" s="7">
        <v>1.28</v>
      </c>
      <c r="K419643" s="11">
        <v>2026</v>
      </c>
      <c r="L419643" t="s">
        <v>25</v>
      </c>
      <c r="M419643" t="s">
        <v>17</v>
      </c>
    </row>
    <row r="419644" spans="1:13" x14ac:dyDescent="0.25">
      <c r="A419644" s="6">
        <v>46153</v>
      </c>
      <c r="B419644" s="11">
        <f t="shared" si="179"/>
        <v>5</v>
      </c>
      <c r="C419644" s="11">
        <f t="shared" si="180"/>
        <v>20</v>
      </c>
      <c r="D419644" s="5" t="s">
        <v>19</v>
      </c>
      <c r="E419644" s="11" t="s">
        <v>14</v>
      </c>
      <c r="F419644" s="9" t="s">
        <v>22</v>
      </c>
      <c r="G419644">
        <v>1</v>
      </c>
      <c r="J419644" s="7">
        <v>8.0990000000000002</v>
      </c>
      <c r="K419644" s="11">
        <v>2026</v>
      </c>
      <c r="L419644" t="s">
        <v>25</v>
      </c>
      <c r="M419644" t="s">
        <v>17</v>
      </c>
    </row>
    <row r="419645" spans="1:13" x14ac:dyDescent="0.25">
      <c r="A419645" s="6">
        <v>46155.625</v>
      </c>
      <c r="B419645" s="11">
        <f t="shared" si="179"/>
        <v>5</v>
      </c>
      <c r="C419645" s="11">
        <f t="shared" si="180"/>
        <v>20</v>
      </c>
      <c r="D419645" s="5" t="s">
        <v>18</v>
      </c>
      <c r="E419645" s="11" t="s">
        <v>14</v>
      </c>
      <c r="F419645" s="9" t="s">
        <v>22</v>
      </c>
      <c r="G419645">
        <v>1</v>
      </c>
      <c r="J419645" s="7">
        <v>10.18</v>
      </c>
      <c r="K419645" s="11">
        <v>2026</v>
      </c>
      <c r="L419645" t="s">
        <v>25</v>
      </c>
      <c r="M419645" t="s">
        <v>17</v>
      </c>
    </row>
    <row r="419646" spans="1:13" x14ac:dyDescent="0.25">
      <c r="A419646" s="6">
        <v>46156.541666666664</v>
      </c>
      <c r="B419646" s="11">
        <f t="shared" si="179"/>
        <v>5</v>
      </c>
      <c r="C419646" s="11">
        <f t="shared" si="180"/>
        <v>20</v>
      </c>
      <c r="D419646" s="5" t="s">
        <v>18</v>
      </c>
      <c r="E419646" s="11" t="s">
        <v>14</v>
      </c>
      <c r="F419646" s="9" t="s">
        <v>15</v>
      </c>
      <c r="G419646">
        <v>1</v>
      </c>
      <c r="J419646" s="7">
        <v>1.92</v>
      </c>
      <c r="K419646" s="11">
        <v>2026</v>
      </c>
      <c r="L419646" t="s">
        <v>25</v>
      </c>
      <c r="M419646" t="s">
        <v>17</v>
      </c>
    </row>
    <row r="419647" spans="1:13" x14ac:dyDescent="0.25">
      <c r="A419647" s="6">
        <v>46155.631944444445</v>
      </c>
      <c r="B419647" s="11">
        <f t="shared" si="179"/>
        <v>5</v>
      </c>
      <c r="C419647" s="11">
        <f t="shared" si="180"/>
        <v>20</v>
      </c>
      <c r="D419647" s="5" t="s">
        <v>13</v>
      </c>
      <c r="E419647" s="11" t="s">
        <v>14</v>
      </c>
      <c r="F419647" s="9" t="s">
        <v>22</v>
      </c>
      <c r="G419647">
        <v>1</v>
      </c>
      <c r="J419647" s="7">
        <v>3.3410000000000002</v>
      </c>
      <c r="K419647" s="11">
        <v>2026</v>
      </c>
      <c r="L419647" t="s">
        <v>25</v>
      </c>
      <c r="M419647" t="s">
        <v>17</v>
      </c>
    </row>
    <row r="419648" spans="1:13" x14ac:dyDescent="0.25">
      <c r="A419648" s="6">
        <v>46158.166666666664</v>
      </c>
      <c r="B419648" s="11">
        <f t="shared" si="179"/>
        <v>5</v>
      </c>
      <c r="C419648" s="11">
        <f t="shared" si="180"/>
        <v>20</v>
      </c>
      <c r="D419648" s="5" t="s">
        <v>13</v>
      </c>
      <c r="E419648" s="11" t="s">
        <v>14</v>
      </c>
      <c r="F419648" s="9" t="s">
        <v>22</v>
      </c>
      <c r="G419648">
        <v>1</v>
      </c>
      <c r="J419648" s="7">
        <v>7.2</v>
      </c>
      <c r="K419648" s="11">
        <v>2026</v>
      </c>
      <c r="L419648" t="s">
        <v>25</v>
      </c>
      <c r="M419648" t="s">
        <v>17</v>
      </c>
    </row>
    <row r="419649" spans="1:13" x14ac:dyDescent="0.25">
      <c r="A419649" s="6">
        <v>46156.208333333336</v>
      </c>
      <c r="B419649" s="11">
        <f t="shared" si="179"/>
        <v>5</v>
      </c>
      <c r="C419649" s="11">
        <f t="shared" si="180"/>
        <v>20</v>
      </c>
      <c r="D419649" s="5" t="s">
        <v>13</v>
      </c>
      <c r="E419649" s="11" t="s">
        <v>14</v>
      </c>
      <c r="F419649" s="9" t="s">
        <v>15</v>
      </c>
      <c r="G419649">
        <v>1</v>
      </c>
      <c r="J419649" s="7">
        <v>2.0979999999999999</v>
      </c>
      <c r="K419649" s="11">
        <v>2026</v>
      </c>
      <c r="L419649" t="s">
        <v>25</v>
      </c>
      <c r="M419649" t="s">
        <v>17</v>
      </c>
    </row>
    <row r="419650" spans="1:13" x14ac:dyDescent="0.25">
      <c r="A419650" s="6">
        <v>46155.631944444445</v>
      </c>
      <c r="B419650" s="11">
        <f t="shared" si="179"/>
        <v>5</v>
      </c>
      <c r="C419650" s="11">
        <f t="shared" si="180"/>
        <v>20</v>
      </c>
      <c r="D419650" s="5" t="s">
        <v>13</v>
      </c>
      <c r="E419650" s="11" t="s">
        <v>14</v>
      </c>
      <c r="F419650" s="9" t="s">
        <v>22</v>
      </c>
      <c r="G419650">
        <v>1</v>
      </c>
      <c r="J419650" s="7">
        <v>2.3660000000000001</v>
      </c>
      <c r="K419650" s="11">
        <v>2026</v>
      </c>
      <c r="L419650" t="s">
        <v>25</v>
      </c>
      <c r="M419650" t="s">
        <v>17</v>
      </c>
    </row>
    <row r="419651" spans="1:13" x14ac:dyDescent="0.25">
      <c r="A419651" s="6">
        <v>46155.631944444445</v>
      </c>
      <c r="B419651" s="11">
        <f t="shared" si="179"/>
        <v>5</v>
      </c>
      <c r="C419651" s="11">
        <f t="shared" si="180"/>
        <v>20</v>
      </c>
      <c r="D419651" s="5" t="s">
        <v>13</v>
      </c>
      <c r="E419651" s="11" t="s">
        <v>14</v>
      </c>
      <c r="F419651" s="9" t="s">
        <v>22</v>
      </c>
      <c r="G419651">
        <v>1</v>
      </c>
      <c r="J419651" s="7">
        <v>1.52</v>
      </c>
      <c r="K419651" s="11">
        <v>2026</v>
      </c>
      <c r="L419651" t="s">
        <v>25</v>
      </c>
      <c r="M419651" t="s">
        <v>17</v>
      </c>
    </row>
    <row r="419652" spans="1:13" x14ac:dyDescent="0.25">
      <c r="A419652" s="6">
        <v>46155.631944444445</v>
      </c>
      <c r="B419652" s="11">
        <f t="shared" si="179"/>
        <v>5</v>
      </c>
      <c r="C419652" s="11">
        <f t="shared" si="180"/>
        <v>20</v>
      </c>
      <c r="D419652" s="5" t="s">
        <v>13</v>
      </c>
      <c r="E419652" s="11" t="s">
        <v>14</v>
      </c>
      <c r="F419652" s="9" t="s">
        <v>22</v>
      </c>
      <c r="G419652">
        <v>1</v>
      </c>
      <c r="J419652" s="7">
        <v>3.3759999999999999</v>
      </c>
      <c r="K419652" s="11">
        <v>2026</v>
      </c>
      <c r="L419652" t="s">
        <v>25</v>
      </c>
      <c r="M419652" t="s">
        <v>17</v>
      </c>
    </row>
    <row r="419653" spans="1:13" x14ac:dyDescent="0.25">
      <c r="A419653" s="6">
        <v>46156.208333333336</v>
      </c>
      <c r="B419653" s="11">
        <f t="shared" si="179"/>
        <v>5</v>
      </c>
      <c r="C419653" s="11">
        <f t="shared" si="180"/>
        <v>20</v>
      </c>
      <c r="D419653" s="5" t="s">
        <v>13</v>
      </c>
      <c r="E419653" s="11" t="s">
        <v>14</v>
      </c>
      <c r="F419653" s="9" t="s">
        <v>15</v>
      </c>
      <c r="G419653">
        <v>1</v>
      </c>
      <c r="J419653" s="7">
        <v>5.6440000000000001</v>
      </c>
      <c r="K419653" s="11">
        <v>2026</v>
      </c>
      <c r="L419653" t="s">
        <v>25</v>
      </c>
      <c r="M419653" t="s">
        <v>17</v>
      </c>
    </row>
    <row r="419654" spans="1:13" x14ac:dyDescent="0.25">
      <c r="A419654" s="6">
        <v>46156.208333333336</v>
      </c>
      <c r="B419654" s="11">
        <f t="shared" si="179"/>
        <v>5</v>
      </c>
      <c r="C419654" s="11">
        <f t="shared" si="180"/>
        <v>20</v>
      </c>
      <c r="D419654" s="5" t="s">
        <v>13</v>
      </c>
      <c r="E419654" s="11" t="s">
        <v>14</v>
      </c>
      <c r="F419654" s="9" t="s">
        <v>15</v>
      </c>
      <c r="G419654">
        <v>1</v>
      </c>
      <c r="J419654" s="7">
        <v>2.5209999999999999</v>
      </c>
      <c r="K419654" s="11">
        <v>2026</v>
      </c>
      <c r="L419654" t="s">
        <v>25</v>
      </c>
      <c r="M419654" t="s">
        <v>17</v>
      </c>
    </row>
    <row r="419655" spans="1:13" x14ac:dyDescent="0.25">
      <c r="A419655" s="6">
        <v>46156.208333333336</v>
      </c>
      <c r="B419655" s="11">
        <f t="shared" si="179"/>
        <v>5</v>
      </c>
      <c r="C419655" s="11">
        <f t="shared" si="180"/>
        <v>20</v>
      </c>
      <c r="D419655" s="5" t="s">
        <v>13</v>
      </c>
      <c r="E419655" s="11" t="s">
        <v>14</v>
      </c>
      <c r="F419655" s="9" t="s">
        <v>15</v>
      </c>
      <c r="G419655">
        <v>1</v>
      </c>
      <c r="J419655" s="7">
        <v>0.51</v>
      </c>
      <c r="K419655" s="11">
        <v>2026</v>
      </c>
      <c r="L419655" t="s">
        <v>25</v>
      </c>
      <c r="M419655" t="s">
        <v>17</v>
      </c>
    </row>
    <row r="419656" spans="1:13" x14ac:dyDescent="0.25">
      <c r="A419656" s="6">
        <v>46158.041666666664</v>
      </c>
      <c r="B419656" s="11">
        <f t="shared" si="179"/>
        <v>5</v>
      </c>
      <c r="C419656" s="11">
        <f t="shared" si="180"/>
        <v>20</v>
      </c>
      <c r="D419656" s="5" t="s">
        <v>18</v>
      </c>
      <c r="E419656" s="11" t="s">
        <v>14</v>
      </c>
      <c r="F419656" s="9" t="s">
        <v>15</v>
      </c>
      <c r="G419656">
        <v>1</v>
      </c>
      <c r="J419656" s="7">
        <v>0.31</v>
      </c>
      <c r="K419656" s="11">
        <v>2026</v>
      </c>
      <c r="L419656" t="s">
        <v>25</v>
      </c>
      <c r="M419656" t="s">
        <v>17</v>
      </c>
    </row>
    <row r="419657" spans="1:13" x14ac:dyDescent="0.25">
      <c r="A419657" s="6">
        <v>46155</v>
      </c>
      <c r="B419657" s="11">
        <f t="shared" si="179"/>
        <v>5</v>
      </c>
      <c r="C419657" s="11">
        <f t="shared" si="180"/>
        <v>20</v>
      </c>
      <c r="D419657" s="5" t="s">
        <v>20</v>
      </c>
      <c r="E419657" s="11" t="s">
        <v>14</v>
      </c>
      <c r="F419657" s="9" t="s">
        <v>22</v>
      </c>
      <c r="G419657">
        <v>1</v>
      </c>
      <c r="J419657" s="7">
        <v>1.7</v>
      </c>
      <c r="K419657" s="11">
        <v>2026</v>
      </c>
      <c r="L419657" t="s">
        <v>25</v>
      </c>
      <c r="M419657" t="s">
        <v>17</v>
      </c>
    </row>
    <row r="419658" spans="1:13" x14ac:dyDescent="0.25">
      <c r="A419658" s="6">
        <v>46155</v>
      </c>
      <c r="B419658" s="11">
        <f t="shared" si="179"/>
        <v>5</v>
      </c>
      <c r="C419658" s="11">
        <f t="shared" si="180"/>
        <v>20</v>
      </c>
      <c r="D419658" s="5" t="s">
        <v>13</v>
      </c>
      <c r="E419658" s="11" t="s">
        <v>14</v>
      </c>
      <c r="F419658" s="9" t="s">
        <v>22</v>
      </c>
      <c r="G419658">
        <v>1</v>
      </c>
      <c r="J419658" s="7">
        <v>2</v>
      </c>
      <c r="K419658" s="11">
        <v>2026</v>
      </c>
      <c r="L419658" t="s">
        <v>25</v>
      </c>
      <c r="M419658" t="s">
        <v>17</v>
      </c>
    </row>
    <row r="419659" spans="1:13" x14ac:dyDescent="0.25">
      <c r="A419659" s="6">
        <v>46155</v>
      </c>
      <c r="B419659" s="11">
        <f t="shared" si="179"/>
        <v>5</v>
      </c>
      <c r="C419659" s="11">
        <f t="shared" si="180"/>
        <v>20</v>
      </c>
      <c r="D419659" s="5" t="s">
        <v>20</v>
      </c>
      <c r="E419659" s="11" t="s">
        <v>14</v>
      </c>
      <c r="F419659" s="9" t="s">
        <v>22</v>
      </c>
      <c r="G419659">
        <v>1</v>
      </c>
      <c r="J419659" s="7">
        <v>0.23</v>
      </c>
      <c r="K419659" s="11">
        <v>2026</v>
      </c>
      <c r="L419659" t="s">
        <v>25</v>
      </c>
      <c r="M419659" t="s">
        <v>17</v>
      </c>
    </row>
    <row r="419660" spans="1:13" x14ac:dyDescent="0.25">
      <c r="A419660" s="6">
        <v>46156.541666666664</v>
      </c>
      <c r="B419660" s="11">
        <f t="shared" si="179"/>
        <v>5</v>
      </c>
      <c r="C419660" s="11">
        <f t="shared" si="180"/>
        <v>20</v>
      </c>
      <c r="D419660" s="5" t="s">
        <v>13</v>
      </c>
      <c r="E419660" s="11" t="s">
        <v>14</v>
      </c>
      <c r="F419660" s="9" t="s">
        <v>15</v>
      </c>
      <c r="G419660">
        <v>1</v>
      </c>
      <c r="J419660" s="7">
        <v>0.18</v>
      </c>
      <c r="K419660" s="11">
        <v>2026</v>
      </c>
      <c r="L419660" t="s">
        <v>25</v>
      </c>
      <c r="M419660" t="s">
        <v>17</v>
      </c>
    </row>
    <row r="419661" spans="1:13" x14ac:dyDescent="0.25">
      <c r="A419661" s="6">
        <v>46156.541666666664</v>
      </c>
      <c r="B419661" s="11">
        <f t="shared" si="179"/>
        <v>5</v>
      </c>
      <c r="C419661" s="11">
        <f t="shared" si="180"/>
        <v>20</v>
      </c>
      <c r="D419661" s="5" t="s">
        <v>13</v>
      </c>
      <c r="E419661" s="11" t="s">
        <v>14</v>
      </c>
      <c r="F419661" s="9" t="s">
        <v>15</v>
      </c>
      <c r="G419661">
        <v>1</v>
      </c>
      <c r="J419661" s="7">
        <v>0.45</v>
      </c>
      <c r="K419661" s="11">
        <v>2026</v>
      </c>
      <c r="L419661" t="s">
        <v>25</v>
      </c>
      <c r="M419661" t="s">
        <v>17</v>
      </c>
    </row>
    <row r="419662" spans="1:13" x14ac:dyDescent="0.25">
      <c r="A419662" s="6">
        <v>46158</v>
      </c>
      <c r="B419662" s="11">
        <f t="shared" si="179"/>
        <v>5</v>
      </c>
      <c r="C419662" s="11">
        <f t="shared" si="180"/>
        <v>20</v>
      </c>
      <c r="D419662" s="5" t="s">
        <v>20</v>
      </c>
      <c r="E419662" s="11" t="s">
        <v>14</v>
      </c>
      <c r="F419662" s="9" t="s">
        <v>22</v>
      </c>
      <c r="G419662">
        <v>1</v>
      </c>
      <c r="J419662" s="7">
        <v>0.191</v>
      </c>
      <c r="K419662" s="11">
        <v>2026</v>
      </c>
      <c r="L419662" t="s">
        <v>25</v>
      </c>
      <c r="M419662" t="s">
        <v>17</v>
      </c>
    </row>
    <row r="419663" spans="1:13" x14ac:dyDescent="0.25">
      <c r="A419663" s="6">
        <v>46156.541666666664</v>
      </c>
      <c r="B419663" s="11">
        <f t="shared" si="179"/>
        <v>5</v>
      </c>
      <c r="C419663" s="11">
        <f t="shared" si="180"/>
        <v>20</v>
      </c>
      <c r="D419663" s="5" t="s">
        <v>13</v>
      </c>
      <c r="E419663" s="11" t="s">
        <v>14</v>
      </c>
      <c r="F419663" s="9" t="s">
        <v>15</v>
      </c>
      <c r="G419663">
        <v>1</v>
      </c>
      <c r="J419663" s="7">
        <v>11.08</v>
      </c>
      <c r="K419663" s="11">
        <v>2026</v>
      </c>
      <c r="L419663" t="s">
        <v>25</v>
      </c>
      <c r="M419663" t="s">
        <v>17</v>
      </c>
    </row>
    <row r="419664" spans="1:13" x14ac:dyDescent="0.25">
      <c r="A419664" s="6">
        <v>46158</v>
      </c>
      <c r="B419664" s="11">
        <f t="shared" si="179"/>
        <v>5</v>
      </c>
      <c r="C419664" s="11">
        <f t="shared" si="180"/>
        <v>20</v>
      </c>
      <c r="D419664" s="5" t="s">
        <v>20</v>
      </c>
      <c r="E419664" s="11" t="s">
        <v>14</v>
      </c>
      <c r="F419664" s="9" t="s">
        <v>22</v>
      </c>
      <c r="G419664">
        <v>1</v>
      </c>
      <c r="J419664" s="7">
        <v>0.41499999999999998</v>
      </c>
      <c r="K419664" s="11">
        <v>2026</v>
      </c>
      <c r="L419664" t="s">
        <v>25</v>
      </c>
      <c r="M419664" t="s">
        <v>17</v>
      </c>
    </row>
    <row r="419665" spans="1:13" x14ac:dyDescent="0.25">
      <c r="A419665" s="6">
        <v>46156.593055555553</v>
      </c>
      <c r="B419665" s="11">
        <f t="shared" ref="B419665:B419728" si="181">MONTH(A419665)</f>
        <v>5</v>
      </c>
      <c r="C419665" s="11">
        <f t="shared" ref="C419665:C419728" si="182">WEEKNUM(A419665)</f>
        <v>20</v>
      </c>
      <c r="D419665" s="5" t="s">
        <v>20</v>
      </c>
      <c r="E419665" s="11" t="s">
        <v>14</v>
      </c>
      <c r="F419665" s="9" t="s">
        <v>22</v>
      </c>
      <c r="G419665">
        <v>1</v>
      </c>
      <c r="J419665" s="7">
        <v>0.3</v>
      </c>
      <c r="K419665" s="11">
        <v>2026</v>
      </c>
      <c r="L419665" t="s">
        <v>25</v>
      </c>
      <c r="M419665" t="s">
        <v>17</v>
      </c>
    </row>
    <row r="419666" spans="1:13" x14ac:dyDescent="0.25">
      <c r="A419666" s="6">
        <v>46156</v>
      </c>
      <c r="B419666" s="11">
        <f t="shared" si="181"/>
        <v>5</v>
      </c>
      <c r="C419666" s="11">
        <f t="shared" si="182"/>
        <v>20</v>
      </c>
      <c r="D419666" s="5" t="s">
        <v>20</v>
      </c>
      <c r="E419666" s="11" t="s">
        <v>14</v>
      </c>
      <c r="F419666" s="9" t="s">
        <v>22</v>
      </c>
      <c r="G419666">
        <v>1</v>
      </c>
      <c r="J419666" s="7">
        <v>2.35</v>
      </c>
      <c r="K419666" s="11">
        <v>2026</v>
      </c>
      <c r="L419666" t="s">
        <v>25</v>
      </c>
      <c r="M419666" t="s">
        <v>17</v>
      </c>
    </row>
    <row r="419667" spans="1:13" x14ac:dyDescent="0.25">
      <c r="A419667" s="6">
        <v>46154</v>
      </c>
      <c r="B419667" s="11">
        <f t="shared" si="181"/>
        <v>5</v>
      </c>
      <c r="C419667" s="11">
        <f t="shared" si="182"/>
        <v>20</v>
      </c>
      <c r="D419667" s="5" t="s">
        <v>18</v>
      </c>
      <c r="E419667" s="11" t="s">
        <v>14</v>
      </c>
      <c r="F419667" s="9" t="s">
        <v>22</v>
      </c>
      <c r="G419667">
        <v>1</v>
      </c>
      <c r="J419667" s="7">
        <v>6.1669999999999998</v>
      </c>
      <c r="K419667" s="11">
        <v>2026</v>
      </c>
      <c r="L419667" t="s">
        <v>25</v>
      </c>
      <c r="M419667" t="s">
        <v>17</v>
      </c>
    </row>
    <row r="419668" spans="1:13" x14ac:dyDescent="0.25">
      <c r="A419668" s="6">
        <v>46158.041666666664</v>
      </c>
      <c r="B419668" s="11">
        <f t="shared" si="181"/>
        <v>5</v>
      </c>
      <c r="C419668" s="11">
        <f t="shared" si="182"/>
        <v>20</v>
      </c>
      <c r="D419668" s="5" t="s">
        <v>18</v>
      </c>
      <c r="E419668" s="11" t="s">
        <v>14</v>
      </c>
      <c r="F419668" s="9" t="s">
        <v>15</v>
      </c>
      <c r="G419668">
        <v>1</v>
      </c>
      <c r="J419668" s="7">
        <v>1.0489999999999999</v>
      </c>
      <c r="K419668" s="11">
        <v>2026</v>
      </c>
      <c r="L419668" t="s">
        <v>25</v>
      </c>
      <c r="M419668" t="s">
        <v>17</v>
      </c>
    </row>
    <row r="419669" spans="1:13" x14ac:dyDescent="0.25">
      <c r="A419669" s="6">
        <v>46154</v>
      </c>
      <c r="B419669" s="11">
        <f t="shared" si="181"/>
        <v>5</v>
      </c>
      <c r="C419669" s="11">
        <f t="shared" si="182"/>
        <v>20</v>
      </c>
      <c r="D419669" s="5" t="s">
        <v>13</v>
      </c>
      <c r="E419669" s="11" t="s">
        <v>14</v>
      </c>
      <c r="F419669" s="9" t="s">
        <v>22</v>
      </c>
      <c r="G419669">
        <v>1</v>
      </c>
      <c r="J419669" s="7">
        <v>1.1619999999999999</v>
      </c>
      <c r="K419669" s="11">
        <v>2026</v>
      </c>
      <c r="L419669" t="s">
        <v>25</v>
      </c>
      <c r="M419669" t="s">
        <v>17</v>
      </c>
    </row>
    <row r="419670" spans="1:13" x14ac:dyDescent="0.25">
      <c r="A419670" s="6">
        <v>46156.208333333336</v>
      </c>
      <c r="B419670" s="11">
        <f t="shared" si="181"/>
        <v>5</v>
      </c>
      <c r="C419670" s="11">
        <f t="shared" si="182"/>
        <v>20</v>
      </c>
      <c r="D419670" s="5" t="s">
        <v>13</v>
      </c>
      <c r="E419670" s="11" t="s">
        <v>14</v>
      </c>
      <c r="F419670" s="9" t="s">
        <v>15</v>
      </c>
      <c r="G419670">
        <v>1</v>
      </c>
      <c r="J419670" s="7">
        <v>18.007999999999999</v>
      </c>
      <c r="K419670" s="11">
        <v>2026</v>
      </c>
      <c r="L419670" t="s">
        <v>25</v>
      </c>
      <c r="M419670" t="s">
        <v>17</v>
      </c>
    </row>
    <row r="419671" spans="1:13" x14ac:dyDescent="0.25">
      <c r="A419671" s="6">
        <v>46156.208333333336</v>
      </c>
      <c r="B419671" s="11">
        <f t="shared" si="181"/>
        <v>5</v>
      </c>
      <c r="C419671" s="11">
        <f t="shared" si="182"/>
        <v>20</v>
      </c>
      <c r="D419671" s="5" t="s">
        <v>13</v>
      </c>
      <c r="E419671" s="11" t="s">
        <v>14</v>
      </c>
      <c r="F419671" s="9" t="s">
        <v>15</v>
      </c>
      <c r="G419671">
        <v>1</v>
      </c>
      <c r="J419671" s="7">
        <v>1.8009999999999999</v>
      </c>
      <c r="K419671" s="11">
        <v>2026</v>
      </c>
      <c r="L419671" t="s">
        <v>25</v>
      </c>
      <c r="M419671" t="s">
        <v>17</v>
      </c>
    </row>
    <row r="419672" spans="1:13" x14ac:dyDescent="0.25">
      <c r="A419672" s="6">
        <v>46156.208333333336</v>
      </c>
      <c r="B419672" s="11">
        <f t="shared" si="181"/>
        <v>5</v>
      </c>
      <c r="C419672" s="11">
        <f t="shared" si="182"/>
        <v>20</v>
      </c>
      <c r="D419672" s="5" t="s">
        <v>13</v>
      </c>
      <c r="E419672" s="11" t="s">
        <v>14</v>
      </c>
      <c r="F419672" s="9" t="s">
        <v>15</v>
      </c>
      <c r="G419672">
        <v>1</v>
      </c>
      <c r="J419672" s="7">
        <v>2.504</v>
      </c>
      <c r="K419672" s="11">
        <v>2026</v>
      </c>
      <c r="L419672" t="s">
        <v>25</v>
      </c>
      <c r="M419672" t="s">
        <v>17</v>
      </c>
    </row>
    <row r="419673" spans="1:13" x14ac:dyDescent="0.25">
      <c r="A419673" s="6">
        <v>46156.208333333336</v>
      </c>
      <c r="B419673" s="11">
        <f t="shared" si="181"/>
        <v>5</v>
      </c>
      <c r="C419673" s="11">
        <f t="shared" si="182"/>
        <v>20</v>
      </c>
      <c r="D419673" s="5" t="s">
        <v>18</v>
      </c>
      <c r="E419673" s="11" t="s">
        <v>14</v>
      </c>
      <c r="F419673" s="9" t="s">
        <v>15</v>
      </c>
      <c r="G419673">
        <v>1</v>
      </c>
      <c r="J419673" s="7">
        <v>2.6520000000000001</v>
      </c>
      <c r="K419673" s="11">
        <v>2026</v>
      </c>
      <c r="L419673" t="s">
        <v>25</v>
      </c>
      <c r="M419673" t="s">
        <v>17</v>
      </c>
    </row>
    <row r="419674" spans="1:13" x14ac:dyDescent="0.25">
      <c r="A419674" s="6">
        <v>46156.208333333336</v>
      </c>
      <c r="B419674" s="11">
        <f t="shared" si="181"/>
        <v>5</v>
      </c>
      <c r="C419674" s="11">
        <f t="shared" si="182"/>
        <v>20</v>
      </c>
      <c r="D419674" s="5" t="s">
        <v>18</v>
      </c>
      <c r="E419674" s="11" t="s">
        <v>14</v>
      </c>
      <c r="F419674" s="9" t="s">
        <v>15</v>
      </c>
      <c r="G419674">
        <v>1</v>
      </c>
      <c r="J419674" s="7">
        <v>2.7629999999999999</v>
      </c>
      <c r="K419674" s="11">
        <v>2026</v>
      </c>
      <c r="L419674" t="s">
        <v>25</v>
      </c>
      <c r="M419674" t="s">
        <v>17</v>
      </c>
    </row>
    <row r="419675" spans="1:13" x14ac:dyDescent="0.25">
      <c r="A419675" s="6">
        <v>46156.208333333336</v>
      </c>
      <c r="B419675" s="11">
        <f t="shared" si="181"/>
        <v>5</v>
      </c>
      <c r="C419675" s="11">
        <f t="shared" si="182"/>
        <v>20</v>
      </c>
      <c r="D419675" s="5" t="s">
        <v>13</v>
      </c>
      <c r="E419675" s="11" t="s">
        <v>14</v>
      </c>
      <c r="F419675" s="9" t="s">
        <v>15</v>
      </c>
      <c r="G419675">
        <v>1</v>
      </c>
      <c r="J419675" s="7">
        <v>0.84</v>
      </c>
      <c r="K419675" s="11">
        <v>2026</v>
      </c>
      <c r="L419675" t="s">
        <v>25</v>
      </c>
      <c r="M419675" t="s">
        <v>17</v>
      </c>
    </row>
    <row r="419676" spans="1:13" x14ac:dyDescent="0.25">
      <c r="A419676" s="6">
        <v>46154.526388888888</v>
      </c>
      <c r="B419676" s="11">
        <f t="shared" si="181"/>
        <v>5</v>
      </c>
      <c r="C419676" s="11">
        <f t="shared" si="182"/>
        <v>20</v>
      </c>
      <c r="D419676" s="5" t="s">
        <v>13</v>
      </c>
      <c r="E419676" s="11" t="s">
        <v>14</v>
      </c>
      <c r="F419676" s="9" t="s">
        <v>22</v>
      </c>
      <c r="G419676">
        <v>1</v>
      </c>
      <c r="J419676" s="7">
        <v>0.76800000000000002</v>
      </c>
      <c r="K419676" s="11">
        <v>2026</v>
      </c>
      <c r="L419676" t="s">
        <v>25</v>
      </c>
      <c r="M419676" t="s">
        <v>17</v>
      </c>
    </row>
    <row r="419677" spans="1:13" x14ac:dyDescent="0.25">
      <c r="A419677" s="6">
        <v>46156.208333333336</v>
      </c>
      <c r="B419677" s="11">
        <f t="shared" si="181"/>
        <v>5</v>
      </c>
      <c r="C419677" s="11">
        <f t="shared" si="182"/>
        <v>20</v>
      </c>
      <c r="D419677" s="5" t="s">
        <v>13</v>
      </c>
      <c r="E419677" s="11" t="s">
        <v>14</v>
      </c>
      <c r="F419677" s="9" t="s">
        <v>15</v>
      </c>
      <c r="G419677">
        <v>1</v>
      </c>
      <c r="J419677" s="7">
        <v>2.1219999999999999</v>
      </c>
      <c r="K419677" s="11">
        <v>2026</v>
      </c>
      <c r="L419677" t="s">
        <v>25</v>
      </c>
      <c r="M419677" t="s">
        <v>17</v>
      </c>
    </row>
    <row r="419678" spans="1:13" x14ac:dyDescent="0.25">
      <c r="A419678" s="6">
        <v>46156.208333333336</v>
      </c>
      <c r="B419678" s="11">
        <f t="shared" si="181"/>
        <v>5</v>
      </c>
      <c r="C419678" s="11">
        <f t="shared" si="182"/>
        <v>20</v>
      </c>
      <c r="D419678" s="5" t="s">
        <v>13</v>
      </c>
      <c r="E419678" s="11" t="s">
        <v>14</v>
      </c>
      <c r="F419678" s="9" t="s">
        <v>15</v>
      </c>
      <c r="G419678">
        <v>1</v>
      </c>
      <c r="J419678" s="7">
        <v>0.39200000000000002</v>
      </c>
      <c r="K419678" s="11">
        <v>2026</v>
      </c>
      <c r="L419678" t="s">
        <v>25</v>
      </c>
      <c r="M419678" t="s">
        <v>17</v>
      </c>
    </row>
    <row r="419679" spans="1:13" x14ac:dyDescent="0.25">
      <c r="A419679" s="6">
        <v>46156.208333333336</v>
      </c>
      <c r="B419679" s="11">
        <f t="shared" si="181"/>
        <v>5</v>
      </c>
      <c r="C419679" s="11">
        <f t="shared" si="182"/>
        <v>20</v>
      </c>
      <c r="D419679" s="5" t="s">
        <v>13</v>
      </c>
      <c r="E419679" s="11" t="s">
        <v>14</v>
      </c>
      <c r="F419679" s="9" t="s">
        <v>15</v>
      </c>
      <c r="G419679">
        <v>1</v>
      </c>
      <c r="J419679" s="7">
        <v>0.73</v>
      </c>
      <c r="K419679" s="11">
        <v>2026</v>
      </c>
      <c r="L419679" t="s">
        <v>25</v>
      </c>
      <c r="M419679" t="s">
        <v>17</v>
      </c>
    </row>
    <row r="419680" spans="1:13" x14ac:dyDescent="0.25">
      <c r="A419680" s="6">
        <v>46156.208333333336</v>
      </c>
      <c r="B419680" s="11">
        <f t="shared" si="181"/>
        <v>5</v>
      </c>
      <c r="C419680" s="11">
        <f t="shared" si="182"/>
        <v>20</v>
      </c>
      <c r="D419680" s="5" t="s">
        <v>13</v>
      </c>
      <c r="E419680" s="11" t="s">
        <v>14</v>
      </c>
      <c r="F419680" s="9" t="s">
        <v>15</v>
      </c>
      <c r="G419680">
        <v>1</v>
      </c>
      <c r="J419680" s="7">
        <v>0.14399999999999999</v>
      </c>
      <c r="K419680" s="11">
        <v>2026</v>
      </c>
      <c r="L419680" t="s">
        <v>25</v>
      </c>
      <c r="M419680" t="s">
        <v>17</v>
      </c>
    </row>
    <row r="419681" spans="1:13" x14ac:dyDescent="0.25">
      <c r="A419681" s="6">
        <v>46156.208333333336</v>
      </c>
      <c r="B419681" s="11">
        <f t="shared" si="181"/>
        <v>5</v>
      </c>
      <c r="C419681" s="11">
        <f t="shared" si="182"/>
        <v>20</v>
      </c>
      <c r="D419681" s="5" t="s">
        <v>13</v>
      </c>
      <c r="E419681" s="11" t="s">
        <v>14</v>
      </c>
      <c r="F419681" s="9" t="s">
        <v>15</v>
      </c>
      <c r="G419681">
        <v>1</v>
      </c>
      <c r="J419681" s="7">
        <v>20.399999999999999</v>
      </c>
      <c r="K419681" s="11">
        <v>2026</v>
      </c>
      <c r="L419681" t="s">
        <v>25</v>
      </c>
      <c r="M419681" t="s">
        <v>17</v>
      </c>
    </row>
    <row r="419682" spans="1:13" x14ac:dyDescent="0.25">
      <c r="A419682" s="6">
        <v>46156.208333333336</v>
      </c>
      <c r="B419682" s="11">
        <f t="shared" si="181"/>
        <v>5</v>
      </c>
      <c r="C419682" s="11">
        <f t="shared" si="182"/>
        <v>20</v>
      </c>
      <c r="D419682" s="5" t="s">
        <v>13</v>
      </c>
      <c r="E419682" s="11" t="s">
        <v>14</v>
      </c>
      <c r="F419682" s="9" t="s">
        <v>15</v>
      </c>
      <c r="G419682">
        <v>1</v>
      </c>
      <c r="J419682" s="7">
        <v>23.788</v>
      </c>
      <c r="K419682" s="11">
        <v>2026</v>
      </c>
      <c r="L419682" t="s">
        <v>25</v>
      </c>
      <c r="M419682" t="s">
        <v>17</v>
      </c>
    </row>
    <row r="419683" spans="1:13" x14ac:dyDescent="0.25">
      <c r="A419683" s="6">
        <v>46157</v>
      </c>
      <c r="B419683" s="11">
        <f t="shared" si="181"/>
        <v>5</v>
      </c>
      <c r="C419683" s="11">
        <f t="shared" si="182"/>
        <v>20</v>
      </c>
      <c r="D419683" s="5" t="s">
        <v>18</v>
      </c>
      <c r="E419683" s="11" t="s">
        <v>14</v>
      </c>
      <c r="F419683" s="9" t="s">
        <v>22</v>
      </c>
      <c r="G419683">
        <v>1</v>
      </c>
      <c r="J419683" s="7">
        <v>2.78</v>
      </c>
      <c r="K419683" s="11">
        <v>2026</v>
      </c>
      <c r="L419683" t="s">
        <v>25</v>
      </c>
      <c r="M419683" t="s">
        <v>17</v>
      </c>
    </row>
    <row r="419684" spans="1:13" x14ac:dyDescent="0.25">
      <c r="A419684" s="6">
        <v>46155.958333333336</v>
      </c>
      <c r="B419684" s="11">
        <f t="shared" si="181"/>
        <v>5</v>
      </c>
      <c r="C419684" s="11">
        <f t="shared" si="182"/>
        <v>20</v>
      </c>
      <c r="D419684" s="5" t="s">
        <v>13</v>
      </c>
      <c r="E419684" s="11" t="s">
        <v>14</v>
      </c>
      <c r="F419684" s="9" t="s">
        <v>15</v>
      </c>
      <c r="G419684">
        <v>1</v>
      </c>
      <c r="J419684" s="7">
        <v>0.69</v>
      </c>
      <c r="K419684" s="11">
        <v>2026</v>
      </c>
      <c r="L419684" t="s">
        <v>25</v>
      </c>
      <c r="M419684" t="s">
        <v>17</v>
      </c>
    </row>
    <row r="419685" spans="1:13" x14ac:dyDescent="0.25">
      <c r="A419685" s="6">
        <v>46155.958333333336</v>
      </c>
      <c r="B419685" s="11">
        <f t="shared" si="181"/>
        <v>5</v>
      </c>
      <c r="C419685" s="11">
        <f t="shared" si="182"/>
        <v>20</v>
      </c>
      <c r="D419685" s="5" t="s">
        <v>13</v>
      </c>
      <c r="E419685" s="11" t="s">
        <v>14</v>
      </c>
      <c r="F419685" s="9" t="s">
        <v>15</v>
      </c>
      <c r="G419685">
        <v>1</v>
      </c>
      <c r="J419685" s="7">
        <v>4.0199999999999996</v>
      </c>
      <c r="K419685" s="11">
        <v>2026</v>
      </c>
      <c r="L419685" t="s">
        <v>25</v>
      </c>
      <c r="M419685" t="s">
        <v>17</v>
      </c>
    </row>
    <row r="419686" spans="1:13" x14ac:dyDescent="0.25">
      <c r="A419686" s="6">
        <v>46155.958333333336</v>
      </c>
      <c r="B419686" s="11">
        <f t="shared" si="181"/>
        <v>5</v>
      </c>
      <c r="C419686" s="11">
        <f t="shared" si="182"/>
        <v>20</v>
      </c>
      <c r="D419686" s="5" t="s">
        <v>13</v>
      </c>
      <c r="E419686" s="11" t="s">
        <v>14</v>
      </c>
      <c r="F419686" s="9" t="s">
        <v>15</v>
      </c>
      <c r="G419686">
        <v>1</v>
      </c>
      <c r="J419686" s="7">
        <v>1.87</v>
      </c>
      <c r="K419686" s="11">
        <v>2026</v>
      </c>
      <c r="L419686" t="s">
        <v>25</v>
      </c>
      <c r="M419686" t="s">
        <v>17</v>
      </c>
    </row>
    <row r="419687" spans="1:13" x14ac:dyDescent="0.25">
      <c r="A419687" s="6">
        <v>46155.958333333336</v>
      </c>
      <c r="B419687" s="11">
        <f t="shared" si="181"/>
        <v>5</v>
      </c>
      <c r="C419687" s="11">
        <f t="shared" si="182"/>
        <v>20</v>
      </c>
      <c r="D419687" s="5" t="s">
        <v>18</v>
      </c>
      <c r="E419687" s="11" t="s">
        <v>14</v>
      </c>
      <c r="F419687" s="9" t="s">
        <v>15</v>
      </c>
      <c r="G419687">
        <v>1</v>
      </c>
      <c r="J419687" s="7">
        <v>2.93</v>
      </c>
      <c r="K419687" s="11">
        <v>2026</v>
      </c>
      <c r="L419687" t="s">
        <v>25</v>
      </c>
      <c r="M419687" t="s">
        <v>17</v>
      </c>
    </row>
    <row r="419688" spans="1:13" x14ac:dyDescent="0.25">
      <c r="A419688" s="6">
        <v>46155</v>
      </c>
      <c r="B419688" s="11">
        <f t="shared" si="181"/>
        <v>5</v>
      </c>
      <c r="C419688" s="11">
        <f t="shared" si="182"/>
        <v>20</v>
      </c>
      <c r="D419688" s="5" t="s">
        <v>13</v>
      </c>
      <c r="E419688" s="11" t="s">
        <v>14</v>
      </c>
      <c r="F419688" s="9" t="s">
        <v>22</v>
      </c>
      <c r="G419688">
        <v>1</v>
      </c>
      <c r="J419688" s="7">
        <v>1.0660000000000001</v>
      </c>
      <c r="K419688" s="11">
        <v>2026</v>
      </c>
      <c r="L419688" t="s">
        <v>25</v>
      </c>
      <c r="M419688" t="s">
        <v>17</v>
      </c>
    </row>
    <row r="419689" spans="1:13" x14ac:dyDescent="0.25">
      <c r="A419689" s="6">
        <v>46155</v>
      </c>
      <c r="B419689" s="11">
        <f t="shared" si="181"/>
        <v>5</v>
      </c>
      <c r="C419689" s="11">
        <f t="shared" si="182"/>
        <v>20</v>
      </c>
      <c r="D419689" s="5" t="s">
        <v>13</v>
      </c>
      <c r="E419689" s="11" t="s">
        <v>14</v>
      </c>
      <c r="F419689" s="9" t="s">
        <v>22</v>
      </c>
      <c r="G419689">
        <v>1</v>
      </c>
      <c r="J419689" s="7">
        <v>1.1040000000000001</v>
      </c>
      <c r="K419689" s="11">
        <v>2026</v>
      </c>
      <c r="L419689" t="s">
        <v>25</v>
      </c>
      <c r="M419689" t="s">
        <v>17</v>
      </c>
    </row>
    <row r="419690" spans="1:13" x14ac:dyDescent="0.25">
      <c r="A419690" s="6">
        <v>46156.208333333336</v>
      </c>
      <c r="B419690" s="11">
        <f t="shared" si="181"/>
        <v>5</v>
      </c>
      <c r="C419690" s="11">
        <f t="shared" si="182"/>
        <v>20</v>
      </c>
      <c r="D419690" s="5" t="s">
        <v>18</v>
      </c>
      <c r="E419690" s="11" t="s">
        <v>14</v>
      </c>
      <c r="F419690" s="9" t="s">
        <v>15</v>
      </c>
      <c r="G419690">
        <v>1</v>
      </c>
      <c r="J419690" s="7">
        <v>4.1710000000000003</v>
      </c>
      <c r="K419690" s="11">
        <v>2026</v>
      </c>
      <c r="L419690" t="s">
        <v>25</v>
      </c>
      <c r="M419690" t="s">
        <v>17</v>
      </c>
    </row>
    <row r="419691" spans="1:13" x14ac:dyDescent="0.25">
      <c r="A419691" s="6">
        <v>46156.208333333336</v>
      </c>
      <c r="B419691" s="11">
        <f t="shared" si="181"/>
        <v>5</v>
      </c>
      <c r="C419691" s="11">
        <f t="shared" si="182"/>
        <v>20</v>
      </c>
      <c r="D419691" s="5" t="s">
        <v>18</v>
      </c>
      <c r="E419691" s="11" t="s">
        <v>14</v>
      </c>
      <c r="F419691" s="9" t="s">
        <v>15</v>
      </c>
      <c r="G419691">
        <v>1</v>
      </c>
      <c r="J419691" s="7">
        <v>2.0739999999999998</v>
      </c>
      <c r="K419691" s="11">
        <v>2026</v>
      </c>
      <c r="L419691" t="s">
        <v>25</v>
      </c>
      <c r="M419691" t="s">
        <v>17</v>
      </c>
    </row>
    <row r="419692" spans="1:13" x14ac:dyDescent="0.25">
      <c r="A419692" s="6">
        <v>46156.208333333336</v>
      </c>
      <c r="B419692" s="11">
        <f t="shared" si="181"/>
        <v>5</v>
      </c>
      <c r="C419692" s="11">
        <f t="shared" si="182"/>
        <v>20</v>
      </c>
      <c r="D419692" s="5" t="s">
        <v>18</v>
      </c>
      <c r="E419692" s="11" t="s">
        <v>14</v>
      </c>
      <c r="F419692" s="9" t="s">
        <v>15</v>
      </c>
      <c r="G419692">
        <v>1</v>
      </c>
      <c r="J419692" s="7">
        <v>0.188</v>
      </c>
      <c r="K419692" s="11">
        <v>2026</v>
      </c>
      <c r="L419692" t="s">
        <v>25</v>
      </c>
      <c r="M419692" t="s">
        <v>17</v>
      </c>
    </row>
    <row r="419693" spans="1:13" x14ac:dyDescent="0.25">
      <c r="A419693" s="6">
        <v>46156.208333333336</v>
      </c>
      <c r="B419693" s="11">
        <f t="shared" si="181"/>
        <v>5</v>
      </c>
      <c r="C419693" s="11">
        <f t="shared" si="182"/>
        <v>20</v>
      </c>
      <c r="D419693" s="5" t="s">
        <v>18</v>
      </c>
      <c r="E419693" s="11" t="s">
        <v>14</v>
      </c>
      <c r="F419693" s="9" t="s">
        <v>15</v>
      </c>
      <c r="G419693">
        <v>1</v>
      </c>
      <c r="J419693" s="7">
        <v>6.4329999999999998</v>
      </c>
      <c r="K419693" s="11">
        <v>2026</v>
      </c>
      <c r="L419693" t="s">
        <v>25</v>
      </c>
      <c r="M419693" t="s">
        <v>17</v>
      </c>
    </row>
    <row r="419694" spans="1:13" x14ac:dyDescent="0.25">
      <c r="A419694" s="6">
        <v>46158.041666666664</v>
      </c>
      <c r="B419694" s="11">
        <f t="shared" si="181"/>
        <v>5</v>
      </c>
      <c r="C419694" s="11">
        <f t="shared" si="182"/>
        <v>20</v>
      </c>
      <c r="D419694" s="5" t="s">
        <v>21</v>
      </c>
      <c r="E419694" s="11" t="s">
        <v>14</v>
      </c>
      <c r="F419694" s="9" t="s">
        <v>15</v>
      </c>
      <c r="G419694">
        <v>1</v>
      </c>
      <c r="J419694" s="7">
        <v>0.503</v>
      </c>
      <c r="K419694" s="11">
        <v>2026</v>
      </c>
      <c r="L419694" t="s">
        <v>25</v>
      </c>
      <c r="M419694" t="s">
        <v>17</v>
      </c>
    </row>
    <row r="419695" spans="1:13" x14ac:dyDescent="0.25">
      <c r="A419695" s="6">
        <v>46158.041666666664</v>
      </c>
      <c r="B419695" s="11">
        <f t="shared" si="181"/>
        <v>5</v>
      </c>
      <c r="C419695" s="11">
        <f t="shared" si="182"/>
        <v>20</v>
      </c>
      <c r="D419695" s="5" t="s">
        <v>13</v>
      </c>
      <c r="E419695" s="11" t="s">
        <v>14</v>
      </c>
      <c r="F419695" s="9" t="s">
        <v>15</v>
      </c>
      <c r="G419695">
        <v>1</v>
      </c>
      <c r="J419695" s="7">
        <v>4.8520000000000003</v>
      </c>
      <c r="K419695" s="11">
        <v>2026</v>
      </c>
      <c r="L419695" t="s">
        <v>25</v>
      </c>
      <c r="M419695" t="s">
        <v>17</v>
      </c>
    </row>
    <row r="419696" spans="1:13" x14ac:dyDescent="0.25">
      <c r="A419696" s="6">
        <v>46158.041666666664</v>
      </c>
      <c r="B419696" s="11">
        <f t="shared" si="181"/>
        <v>5</v>
      </c>
      <c r="C419696" s="11">
        <f t="shared" si="182"/>
        <v>20</v>
      </c>
      <c r="D419696" s="5" t="s">
        <v>13</v>
      </c>
      <c r="E419696" s="11" t="s">
        <v>14</v>
      </c>
      <c r="F419696" s="9" t="s">
        <v>15</v>
      </c>
      <c r="G419696">
        <v>1</v>
      </c>
      <c r="J419696" s="7">
        <v>1.294</v>
      </c>
      <c r="K419696" s="11">
        <v>2026</v>
      </c>
      <c r="L419696" t="s">
        <v>25</v>
      </c>
      <c r="M419696" t="s">
        <v>17</v>
      </c>
    </row>
    <row r="419697" spans="1:13" x14ac:dyDescent="0.25">
      <c r="A419697" s="6">
        <v>46158.041666666664</v>
      </c>
      <c r="B419697" s="11">
        <f t="shared" si="181"/>
        <v>5</v>
      </c>
      <c r="C419697" s="11">
        <f t="shared" si="182"/>
        <v>20</v>
      </c>
      <c r="D419697" s="5" t="s">
        <v>13</v>
      </c>
      <c r="E419697" s="11" t="s">
        <v>14</v>
      </c>
      <c r="F419697" s="9" t="s">
        <v>15</v>
      </c>
      <c r="G419697">
        <v>1</v>
      </c>
      <c r="J419697" s="7">
        <v>3.78</v>
      </c>
      <c r="K419697" s="11">
        <v>2026</v>
      </c>
      <c r="L419697" t="s">
        <v>25</v>
      </c>
      <c r="M419697" t="s">
        <v>17</v>
      </c>
    </row>
    <row r="419698" spans="1:13" x14ac:dyDescent="0.25">
      <c r="A419698" s="6">
        <v>46158.041666666664</v>
      </c>
      <c r="B419698" s="11">
        <f t="shared" si="181"/>
        <v>5</v>
      </c>
      <c r="C419698" s="11">
        <f t="shared" si="182"/>
        <v>20</v>
      </c>
      <c r="D419698" s="5" t="s">
        <v>13</v>
      </c>
      <c r="E419698" s="11" t="s">
        <v>14</v>
      </c>
      <c r="F419698" s="9" t="s">
        <v>15</v>
      </c>
      <c r="G419698">
        <v>1</v>
      </c>
      <c r="J419698" s="7">
        <v>1.5920000000000001</v>
      </c>
      <c r="K419698" s="11">
        <v>2026</v>
      </c>
      <c r="L419698" t="s">
        <v>25</v>
      </c>
      <c r="M419698" t="s">
        <v>17</v>
      </c>
    </row>
    <row r="419699" spans="1:13" x14ac:dyDescent="0.25">
      <c r="A419699" s="6">
        <v>46158.041666666664</v>
      </c>
      <c r="B419699" s="11">
        <f t="shared" si="181"/>
        <v>5</v>
      </c>
      <c r="C419699" s="11">
        <f t="shared" si="182"/>
        <v>20</v>
      </c>
      <c r="D419699" s="5" t="s">
        <v>13</v>
      </c>
      <c r="E419699" s="11" t="s">
        <v>14</v>
      </c>
      <c r="F419699" s="9" t="s">
        <v>15</v>
      </c>
      <c r="G419699">
        <v>1</v>
      </c>
      <c r="J419699" s="7">
        <v>4.9800000000000004</v>
      </c>
      <c r="K419699" s="11">
        <v>2026</v>
      </c>
      <c r="L419699" t="s">
        <v>25</v>
      </c>
      <c r="M419699" t="s">
        <v>17</v>
      </c>
    </row>
    <row r="419700" spans="1:13" x14ac:dyDescent="0.25">
      <c r="A419700" s="6">
        <v>46156.208333333336</v>
      </c>
      <c r="B419700" s="11">
        <f t="shared" si="181"/>
        <v>5</v>
      </c>
      <c r="C419700" s="11">
        <f t="shared" si="182"/>
        <v>20</v>
      </c>
      <c r="D419700" s="5" t="s">
        <v>18</v>
      </c>
      <c r="E419700" s="11" t="s">
        <v>14</v>
      </c>
      <c r="F419700" s="9" t="s">
        <v>15</v>
      </c>
      <c r="G419700">
        <v>1</v>
      </c>
      <c r="J419700" s="7">
        <v>10.55</v>
      </c>
      <c r="K419700" s="11">
        <v>2026</v>
      </c>
      <c r="L419700" t="s">
        <v>25</v>
      </c>
      <c r="M419700" t="s">
        <v>17</v>
      </c>
    </row>
    <row r="419701" spans="1:13" x14ac:dyDescent="0.25">
      <c r="A419701" s="6">
        <v>46156.208333333336</v>
      </c>
      <c r="B419701" s="11">
        <f t="shared" si="181"/>
        <v>5</v>
      </c>
      <c r="C419701" s="11">
        <f t="shared" si="182"/>
        <v>20</v>
      </c>
      <c r="D419701" s="5" t="s">
        <v>18</v>
      </c>
      <c r="E419701" s="11" t="s">
        <v>14</v>
      </c>
      <c r="F419701" s="9" t="s">
        <v>15</v>
      </c>
      <c r="G419701">
        <v>1</v>
      </c>
      <c r="J419701" s="7">
        <v>6.6079999999999997</v>
      </c>
      <c r="K419701" s="11">
        <v>2026</v>
      </c>
      <c r="L419701" t="s">
        <v>25</v>
      </c>
      <c r="M419701" t="s">
        <v>17</v>
      </c>
    </row>
    <row r="419702" spans="1:13" x14ac:dyDescent="0.25">
      <c r="A419702" s="6">
        <v>46156.208333333336</v>
      </c>
      <c r="B419702" s="11">
        <f t="shared" si="181"/>
        <v>5</v>
      </c>
      <c r="C419702" s="11">
        <f t="shared" si="182"/>
        <v>20</v>
      </c>
      <c r="D419702" s="5" t="s">
        <v>13</v>
      </c>
      <c r="E419702" s="11" t="s">
        <v>14</v>
      </c>
      <c r="F419702" s="9" t="s">
        <v>15</v>
      </c>
      <c r="G419702">
        <v>1</v>
      </c>
      <c r="J419702" s="7">
        <v>16.32</v>
      </c>
      <c r="K419702" s="11">
        <v>2026</v>
      </c>
      <c r="L419702" t="s">
        <v>25</v>
      </c>
      <c r="M419702" t="s">
        <v>17</v>
      </c>
    </row>
    <row r="419703" spans="1:13" x14ac:dyDescent="0.25">
      <c r="A419703" s="6">
        <v>46156.208333333336</v>
      </c>
      <c r="B419703" s="11">
        <f t="shared" si="181"/>
        <v>5</v>
      </c>
      <c r="C419703" s="11">
        <f t="shared" si="182"/>
        <v>20</v>
      </c>
      <c r="D419703" s="5" t="s">
        <v>18</v>
      </c>
      <c r="E419703" s="11" t="s">
        <v>14</v>
      </c>
      <c r="F419703" s="9" t="s">
        <v>15</v>
      </c>
      <c r="G419703">
        <v>1</v>
      </c>
      <c r="J419703" s="7">
        <v>2.3039999999999998</v>
      </c>
      <c r="K419703" s="11">
        <v>2026</v>
      </c>
      <c r="L419703" t="s">
        <v>25</v>
      </c>
      <c r="M419703" t="s">
        <v>17</v>
      </c>
    </row>
    <row r="419704" spans="1:13" x14ac:dyDescent="0.25">
      <c r="A419704" s="6">
        <v>46153</v>
      </c>
      <c r="B419704" s="11">
        <f t="shared" si="181"/>
        <v>5</v>
      </c>
      <c r="C419704" s="11">
        <f t="shared" si="182"/>
        <v>20</v>
      </c>
      <c r="D419704" s="5" t="s">
        <v>20</v>
      </c>
      <c r="E419704" s="11" t="s">
        <v>14</v>
      </c>
      <c r="F419704" s="9" t="s">
        <v>22</v>
      </c>
      <c r="G419704">
        <v>1</v>
      </c>
      <c r="J419704" s="7">
        <v>0.621</v>
      </c>
      <c r="K419704" s="11">
        <v>2026</v>
      </c>
      <c r="L419704" t="s">
        <v>25</v>
      </c>
      <c r="M419704" t="s">
        <v>17</v>
      </c>
    </row>
    <row r="419705" spans="1:13" x14ac:dyDescent="0.25">
      <c r="A419705" s="6">
        <v>46158.041666666664</v>
      </c>
      <c r="B419705" s="11">
        <f t="shared" si="181"/>
        <v>5</v>
      </c>
      <c r="C419705" s="11">
        <f t="shared" si="182"/>
        <v>20</v>
      </c>
      <c r="D419705" s="5" t="s">
        <v>20</v>
      </c>
      <c r="E419705" s="11" t="s">
        <v>14</v>
      </c>
      <c r="F419705" s="9" t="s">
        <v>15</v>
      </c>
      <c r="G419705">
        <v>1</v>
      </c>
      <c r="J419705" s="7">
        <v>1.2689999999999999</v>
      </c>
      <c r="K419705" s="11">
        <v>2026</v>
      </c>
      <c r="L419705" t="s">
        <v>25</v>
      </c>
      <c r="M419705" t="s">
        <v>17</v>
      </c>
    </row>
    <row r="419706" spans="1:13" x14ac:dyDescent="0.25">
      <c r="A419706" s="6">
        <v>46158.041666666664</v>
      </c>
      <c r="B419706" s="11">
        <f t="shared" si="181"/>
        <v>5</v>
      </c>
      <c r="C419706" s="11">
        <f t="shared" si="182"/>
        <v>20</v>
      </c>
      <c r="D419706" s="5" t="s">
        <v>20</v>
      </c>
      <c r="E419706" s="11" t="s">
        <v>14</v>
      </c>
      <c r="F419706" s="9" t="s">
        <v>15</v>
      </c>
      <c r="G419706">
        <v>1</v>
      </c>
      <c r="J419706" s="7">
        <v>0.84799999999999998</v>
      </c>
      <c r="K419706" s="11">
        <v>2026</v>
      </c>
      <c r="L419706" t="s">
        <v>25</v>
      </c>
      <c r="M419706" t="s">
        <v>17</v>
      </c>
    </row>
    <row r="419707" spans="1:13" x14ac:dyDescent="0.25">
      <c r="A419707" s="6">
        <v>46154</v>
      </c>
      <c r="B419707" s="11">
        <f t="shared" si="181"/>
        <v>5</v>
      </c>
      <c r="C419707" s="11">
        <f t="shared" si="182"/>
        <v>20</v>
      </c>
      <c r="D419707" s="5" t="s">
        <v>26</v>
      </c>
      <c r="E419707" s="11" t="s">
        <v>14</v>
      </c>
      <c r="F419707" s="9" t="s">
        <v>22</v>
      </c>
      <c r="G419707">
        <v>1</v>
      </c>
      <c r="J419707" s="7">
        <v>2.15</v>
      </c>
      <c r="K419707" s="11">
        <v>2026</v>
      </c>
      <c r="L419707" t="s">
        <v>25</v>
      </c>
      <c r="M419707" t="s">
        <v>17</v>
      </c>
    </row>
    <row r="419708" spans="1:13" x14ac:dyDescent="0.25">
      <c r="A419708" s="6">
        <v>46154.25</v>
      </c>
      <c r="B419708" s="11">
        <f t="shared" si="181"/>
        <v>5</v>
      </c>
      <c r="C419708" s="11">
        <f t="shared" si="182"/>
        <v>20</v>
      </c>
      <c r="D419708" s="5" t="s">
        <v>19</v>
      </c>
      <c r="E419708" s="11" t="s">
        <v>14</v>
      </c>
      <c r="F419708" s="9" t="s">
        <v>22</v>
      </c>
      <c r="G419708">
        <v>1</v>
      </c>
      <c r="J419708" s="7">
        <v>2.5299999999999998</v>
      </c>
      <c r="K419708" s="11">
        <v>2026</v>
      </c>
      <c r="L419708" t="s">
        <v>25</v>
      </c>
      <c r="M419708" t="s">
        <v>17</v>
      </c>
    </row>
    <row r="419709" spans="1:13" x14ac:dyDescent="0.25">
      <c r="A419709" s="6">
        <v>46156.791666666664</v>
      </c>
      <c r="B419709" s="11">
        <f t="shared" si="181"/>
        <v>5</v>
      </c>
      <c r="C419709" s="11">
        <f t="shared" si="182"/>
        <v>20</v>
      </c>
      <c r="D419709" s="5" t="s">
        <v>19</v>
      </c>
      <c r="E419709" s="11" t="s">
        <v>14</v>
      </c>
      <c r="F419709" s="9" t="s">
        <v>22</v>
      </c>
      <c r="G419709">
        <v>1</v>
      </c>
      <c r="J419709" s="7">
        <v>1.68</v>
      </c>
      <c r="K419709" s="11">
        <v>2026</v>
      </c>
      <c r="L419709" t="s">
        <v>25</v>
      </c>
      <c r="M419709" t="s">
        <v>17</v>
      </c>
    </row>
    <row r="419710" spans="1:13" x14ac:dyDescent="0.25">
      <c r="A419710" s="6">
        <v>46156.791666666664</v>
      </c>
      <c r="B419710" s="11">
        <f t="shared" si="181"/>
        <v>5</v>
      </c>
      <c r="C419710" s="11">
        <f t="shared" si="182"/>
        <v>20</v>
      </c>
      <c r="D419710" s="5" t="s">
        <v>19</v>
      </c>
      <c r="E419710" s="11" t="s">
        <v>14</v>
      </c>
      <c r="F419710" s="9" t="s">
        <v>22</v>
      </c>
      <c r="G419710">
        <v>1</v>
      </c>
      <c r="J419710" s="7">
        <v>0.86399999999999999</v>
      </c>
      <c r="K419710" s="11">
        <v>2026</v>
      </c>
      <c r="L419710" t="s">
        <v>25</v>
      </c>
      <c r="M419710" t="s">
        <v>17</v>
      </c>
    </row>
    <row r="419711" spans="1:13" x14ac:dyDescent="0.25">
      <c r="A419711" s="6">
        <v>46156.791666666664</v>
      </c>
      <c r="B419711" s="11">
        <f t="shared" si="181"/>
        <v>5</v>
      </c>
      <c r="C419711" s="11">
        <f t="shared" si="182"/>
        <v>20</v>
      </c>
      <c r="D419711" s="5" t="s">
        <v>19</v>
      </c>
      <c r="E419711" s="11" t="s">
        <v>14</v>
      </c>
      <c r="F419711" s="9" t="s">
        <v>22</v>
      </c>
      <c r="G419711">
        <v>1</v>
      </c>
      <c r="J419711" s="7">
        <v>1.728</v>
      </c>
      <c r="K419711" s="11">
        <v>2026</v>
      </c>
      <c r="L419711" t="s">
        <v>25</v>
      </c>
      <c r="M419711" t="s">
        <v>17</v>
      </c>
    </row>
    <row r="419712" spans="1:13" x14ac:dyDescent="0.25">
      <c r="A419712" s="6">
        <v>46155.681944444441</v>
      </c>
      <c r="B419712" s="11">
        <f t="shared" si="181"/>
        <v>5</v>
      </c>
      <c r="C419712" s="11">
        <f t="shared" si="182"/>
        <v>20</v>
      </c>
      <c r="D419712" s="5" t="s">
        <v>18</v>
      </c>
      <c r="E419712" s="11" t="s">
        <v>14</v>
      </c>
      <c r="F419712" s="9" t="s">
        <v>22</v>
      </c>
      <c r="G419712">
        <v>1</v>
      </c>
      <c r="J419712" s="7">
        <v>3.18</v>
      </c>
      <c r="K419712" s="11">
        <v>2026</v>
      </c>
      <c r="L419712" t="s">
        <v>25</v>
      </c>
      <c r="M419712" t="s">
        <v>17</v>
      </c>
    </row>
    <row r="419713" spans="1:13" x14ac:dyDescent="0.25">
      <c r="A419713" s="6">
        <v>46158.041666666664</v>
      </c>
      <c r="B419713" s="11">
        <f t="shared" si="181"/>
        <v>5</v>
      </c>
      <c r="C419713" s="11">
        <f t="shared" si="182"/>
        <v>20</v>
      </c>
      <c r="D419713" s="5" t="s">
        <v>18</v>
      </c>
      <c r="E419713" s="11" t="s">
        <v>14</v>
      </c>
      <c r="F419713" s="9" t="s">
        <v>15</v>
      </c>
      <c r="G419713">
        <v>1</v>
      </c>
      <c r="J419713" s="7">
        <v>1.357</v>
      </c>
      <c r="K419713" s="11">
        <v>2026</v>
      </c>
      <c r="L419713" t="s">
        <v>25</v>
      </c>
      <c r="M419713" t="s">
        <v>17</v>
      </c>
    </row>
    <row r="419714" spans="1:13" x14ac:dyDescent="0.25">
      <c r="A419714" s="6">
        <v>46153</v>
      </c>
      <c r="B419714" s="11">
        <f t="shared" si="181"/>
        <v>5</v>
      </c>
      <c r="C419714" s="11">
        <f t="shared" si="182"/>
        <v>20</v>
      </c>
      <c r="D419714" s="5" t="s">
        <v>18</v>
      </c>
      <c r="E419714" s="11" t="s">
        <v>14</v>
      </c>
      <c r="F419714" s="9" t="s">
        <v>22</v>
      </c>
      <c r="G419714">
        <v>1</v>
      </c>
      <c r="J419714" s="7">
        <v>8.68</v>
      </c>
      <c r="K419714" s="11">
        <v>2026</v>
      </c>
      <c r="L419714" t="s">
        <v>25</v>
      </c>
      <c r="M419714" t="s">
        <v>17</v>
      </c>
    </row>
    <row r="419715" spans="1:13" x14ac:dyDescent="0.25">
      <c r="A419715" s="6">
        <v>46154.270833333336</v>
      </c>
      <c r="B419715" s="11">
        <f t="shared" si="181"/>
        <v>5</v>
      </c>
      <c r="C419715" s="11">
        <f t="shared" si="182"/>
        <v>20</v>
      </c>
      <c r="D419715" s="5" t="s">
        <v>19</v>
      </c>
      <c r="E419715" s="11" t="s">
        <v>14</v>
      </c>
      <c r="F419715" s="9" t="s">
        <v>22</v>
      </c>
      <c r="G419715">
        <v>1</v>
      </c>
      <c r="J419715" s="7">
        <v>13.461</v>
      </c>
      <c r="K419715" s="11">
        <v>2026</v>
      </c>
      <c r="L419715" t="s">
        <v>25</v>
      </c>
      <c r="M419715" t="s">
        <v>17</v>
      </c>
    </row>
    <row r="419716" spans="1:13" x14ac:dyDescent="0.25">
      <c r="A419716" s="6">
        <v>46156.541666666664</v>
      </c>
      <c r="B419716" s="11">
        <f t="shared" si="181"/>
        <v>5</v>
      </c>
      <c r="C419716" s="11">
        <f t="shared" si="182"/>
        <v>20</v>
      </c>
      <c r="D419716" s="5" t="s">
        <v>13</v>
      </c>
      <c r="E419716" s="11" t="s">
        <v>14</v>
      </c>
      <c r="F419716" s="9" t="s">
        <v>15</v>
      </c>
      <c r="G419716">
        <v>1</v>
      </c>
      <c r="J419716" s="7">
        <v>5</v>
      </c>
      <c r="K419716" s="11">
        <v>2026</v>
      </c>
      <c r="L419716" t="s">
        <v>25</v>
      </c>
      <c r="M419716" t="s">
        <v>17</v>
      </c>
    </row>
    <row r="419717" spans="1:13" x14ac:dyDescent="0.25">
      <c r="A419717" s="6">
        <v>46155</v>
      </c>
      <c r="B419717" s="11">
        <f t="shared" si="181"/>
        <v>5</v>
      </c>
      <c r="C419717" s="11">
        <f t="shared" si="182"/>
        <v>20</v>
      </c>
      <c r="D419717" s="5" t="s">
        <v>18</v>
      </c>
      <c r="E419717" s="11" t="s">
        <v>14</v>
      </c>
      <c r="F419717" s="9" t="s">
        <v>22</v>
      </c>
      <c r="G419717">
        <v>1</v>
      </c>
      <c r="J419717" s="7">
        <v>0.74</v>
      </c>
      <c r="K419717" s="11">
        <v>2026</v>
      </c>
      <c r="L419717" t="s">
        <v>25</v>
      </c>
      <c r="M419717" t="s">
        <v>17</v>
      </c>
    </row>
    <row r="419718" spans="1:13" x14ac:dyDescent="0.25">
      <c r="A419718" s="6">
        <v>46157</v>
      </c>
      <c r="B419718" s="11">
        <f t="shared" si="181"/>
        <v>5</v>
      </c>
      <c r="C419718" s="11">
        <f t="shared" si="182"/>
        <v>20</v>
      </c>
      <c r="D419718" s="5" t="s">
        <v>13</v>
      </c>
      <c r="E419718" s="11" t="s">
        <v>14</v>
      </c>
      <c r="F419718" s="9" t="s">
        <v>22</v>
      </c>
      <c r="G419718">
        <v>1</v>
      </c>
      <c r="J419718" s="7">
        <v>1.482</v>
      </c>
      <c r="K419718" s="11">
        <v>2026</v>
      </c>
      <c r="L419718" t="s">
        <v>25</v>
      </c>
      <c r="M419718" t="s">
        <v>17</v>
      </c>
    </row>
    <row r="419719" spans="1:13" x14ac:dyDescent="0.25">
      <c r="A419719" s="6">
        <v>46154</v>
      </c>
      <c r="B419719" s="11">
        <f t="shared" si="181"/>
        <v>5</v>
      </c>
      <c r="C419719" s="11">
        <f t="shared" si="182"/>
        <v>20</v>
      </c>
      <c r="D419719" s="5" t="s">
        <v>19</v>
      </c>
      <c r="E419719" s="11" t="s">
        <v>14</v>
      </c>
      <c r="F419719" s="9" t="s">
        <v>22</v>
      </c>
      <c r="G419719">
        <v>1</v>
      </c>
      <c r="J419719" s="7">
        <v>11.2</v>
      </c>
      <c r="K419719" s="11">
        <v>2026</v>
      </c>
      <c r="L419719" t="s">
        <v>25</v>
      </c>
      <c r="M419719" t="s">
        <v>17</v>
      </c>
    </row>
    <row r="419720" spans="1:13" x14ac:dyDescent="0.25">
      <c r="A419720" s="6">
        <v>46156.541666666664</v>
      </c>
      <c r="B419720" s="11">
        <f t="shared" si="181"/>
        <v>5</v>
      </c>
      <c r="C419720" s="11">
        <f t="shared" si="182"/>
        <v>20</v>
      </c>
      <c r="D419720" s="5" t="s">
        <v>13</v>
      </c>
      <c r="E419720" s="11" t="s">
        <v>14</v>
      </c>
      <c r="F419720" s="9" t="s">
        <v>15</v>
      </c>
      <c r="G419720">
        <v>1</v>
      </c>
      <c r="J419720" s="7">
        <v>1.7</v>
      </c>
      <c r="K419720" s="11">
        <v>2026</v>
      </c>
      <c r="L419720" t="s">
        <v>25</v>
      </c>
      <c r="M419720" t="s">
        <v>17</v>
      </c>
    </row>
    <row r="419721" spans="1:13" x14ac:dyDescent="0.25">
      <c r="A419721" s="6">
        <v>46152.322916666664</v>
      </c>
      <c r="B419721" s="11">
        <f t="shared" si="181"/>
        <v>5</v>
      </c>
      <c r="C419721" s="11">
        <f t="shared" si="182"/>
        <v>20</v>
      </c>
      <c r="D419721" s="5" t="s">
        <v>13</v>
      </c>
      <c r="E419721" s="11" t="s">
        <v>14</v>
      </c>
      <c r="F419721" s="9" t="s">
        <v>22</v>
      </c>
      <c r="G419721">
        <v>1</v>
      </c>
      <c r="J419721" s="7">
        <v>9.2859999999999996</v>
      </c>
      <c r="K419721" s="11">
        <v>2026</v>
      </c>
      <c r="L419721" t="s">
        <v>25</v>
      </c>
      <c r="M419721" t="s">
        <v>17</v>
      </c>
    </row>
    <row r="419722" spans="1:13" x14ac:dyDescent="0.25">
      <c r="A419722" s="6">
        <v>46155</v>
      </c>
      <c r="B419722" s="11">
        <f t="shared" si="181"/>
        <v>5</v>
      </c>
      <c r="C419722" s="11">
        <f t="shared" si="182"/>
        <v>20</v>
      </c>
      <c r="D419722" s="5" t="s">
        <v>13</v>
      </c>
      <c r="E419722" s="11" t="s">
        <v>14</v>
      </c>
      <c r="F419722" s="9" t="s">
        <v>22</v>
      </c>
      <c r="G419722">
        <v>1</v>
      </c>
      <c r="J419722" s="7">
        <v>6.84</v>
      </c>
      <c r="K419722" s="11">
        <v>2026</v>
      </c>
      <c r="L419722" t="s">
        <v>25</v>
      </c>
      <c r="M419722" t="s">
        <v>17</v>
      </c>
    </row>
    <row r="419723" spans="1:13" x14ac:dyDescent="0.25">
      <c r="A419723" s="6">
        <v>46155</v>
      </c>
      <c r="B419723" s="11">
        <f t="shared" si="181"/>
        <v>5</v>
      </c>
      <c r="C419723" s="11">
        <f t="shared" si="182"/>
        <v>20</v>
      </c>
      <c r="D419723" s="5" t="s">
        <v>19</v>
      </c>
      <c r="E419723" s="11" t="s">
        <v>14</v>
      </c>
      <c r="F419723" s="9" t="s">
        <v>22</v>
      </c>
      <c r="G419723">
        <v>1</v>
      </c>
      <c r="J419723" s="7">
        <v>6.95</v>
      </c>
      <c r="K419723" s="11">
        <v>2026</v>
      </c>
      <c r="L419723" t="s">
        <v>25</v>
      </c>
      <c r="M419723" t="s">
        <v>17</v>
      </c>
    </row>
    <row r="419724" spans="1:13" x14ac:dyDescent="0.25">
      <c r="A419724" s="6">
        <v>46156.541666666664</v>
      </c>
      <c r="B419724" s="11">
        <f t="shared" si="181"/>
        <v>5</v>
      </c>
      <c r="C419724" s="11">
        <f t="shared" si="182"/>
        <v>20</v>
      </c>
      <c r="D419724" s="5" t="s">
        <v>18</v>
      </c>
      <c r="E419724" s="11" t="s">
        <v>14</v>
      </c>
      <c r="F419724" s="9" t="s">
        <v>15</v>
      </c>
      <c r="G419724">
        <v>1</v>
      </c>
      <c r="J419724" s="7">
        <v>12.45</v>
      </c>
      <c r="K419724" s="11">
        <v>2026</v>
      </c>
      <c r="L419724" t="s">
        <v>25</v>
      </c>
      <c r="M419724" t="s">
        <v>17</v>
      </c>
    </row>
    <row r="419725" spans="1:13" x14ac:dyDescent="0.25">
      <c r="A419725" s="6">
        <v>46156.541666666664</v>
      </c>
      <c r="B419725" s="11">
        <f t="shared" si="181"/>
        <v>5</v>
      </c>
      <c r="C419725" s="11">
        <f t="shared" si="182"/>
        <v>20</v>
      </c>
      <c r="D419725" s="5" t="s">
        <v>18</v>
      </c>
      <c r="E419725" s="11" t="s">
        <v>14</v>
      </c>
      <c r="F419725" s="9" t="s">
        <v>15</v>
      </c>
      <c r="G419725">
        <v>1</v>
      </c>
      <c r="J419725" s="7">
        <v>8.6310000000000002</v>
      </c>
      <c r="K419725" s="11">
        <v>2026</v>
      </c>
      <c r="L419725" t="s">
        <v>25</v>
      </c>
      <c r="M419725" t="s">
        <v>17</v>
      </c>
    </row>
    <row r="419726" spans="1:13" x14ac:dyDescent="0.25">
      <c r="A419726" s="6">
        <v>46157</v>
      </c>
      <c r="B419726" s="11">
        <f t="shared" si="181"/>
        <v>5</v>
      </c>
      <c r="C419726" s="11">
        <f t="shared" si="182"/>
        <v>20</v>
      </c>
      <c r="D419726" s="5" t="s">
        <v>18</v>
      </c>
      <c r="E419726" s="11" t="s">
        <v>14</v>
      </c>
      <c r="F419726" s="9" t="s">
        <v>22</v>
      </c>
      <c r="G419726">
        <v>1</v>
      </c>
      <c r="J419726" s="7">
        <v>2.46</v>
      </c>
      <c r="K419726" s="11">
        <v>2026</v>
      </c>
      <c r="L419726" t="s">
        <v>25</v>
      </c>
      <c r="M419726" t="s">
        <v>17</v>
      </c>
    </row>
    <row r="419727" spans="1:13" x14ac:dyDescent="0.25">
      <c r="A419727" s="6">
        <v>46155</v>
      </c>
      <c r="B419727" s="11">
        <f t="shared" si="181"/>
        <v>5</v>
      </c>
      <c r="C419727" s="11">
        <f t="shared" si="182"/>
        <v>20</v>
      </c>
      <c r="D419727" s="5" t="s">
        <v>19</v>
      </c>
      <c r="E419727" s="11" t="s">
        <v>14</v>
      </c>
      <c r="F419727" s="9" t="s">
        <v>22</v>
      </c>
      <c r="G419727">
        <v>1</v>
      </c>
      <c r="J419727" s="7">
        <v>2.86</v>
      </c>
      <c r="K419727" s="11">
        <v>2026</v>
      </c>
      <c r="L419727" t="s">
        <v>25</v>
      </c>
      <c r="M419727" t="s">
        <v>17</v>
      </c>
    </row>
    <row r="419728" spans="1:13" x14ac:dyDescent="0.25">
      <c r="A419728" s="6">
        <v>46156.541666666664</v>
      </c>
      <c r="B419728" s="11">
        <f t="shared" si="181"/>
        <v>5</v>
      </c>
      <c r="C419728" s="11">
        <f t="shared" si="182"/>
        <v>20</v>
      </c>
      <c r="D419728" s="5" t="s">
        <v>20</v>
      </c>
      <c r="E419728" s="11" t="s">
        <v>14</v>
      </c>
      <c r="F419728" s="9" t="s">
        <v>15</v>
      </c>
      <c r="G419728">
        <v>1</v>
      </c>
      <c r="J419728" s="7">
        <v>0.53</v>
      </c>
      <c r="K419728" s="11">
        <v>2026</v>
      </c>
      <c r="L419728" t="s">
        <v>25</v>
      </c>
      <c r="M419728" t="s">
        <v>17</v>
      </c>
    </row>
    <row r="419729" spans="1:13" x14ac:dyDescent="0.25">
      <c r="A419729" s="6">
        <v>46155.958333333336</v>
      </c>
      <c r="B419729" s="11">
        <f t="shared" ref="B419729:B419748" si="183">MONTH(A419729)</f>
        <v>5</v>
      </c>
      <c r="C419729" s="11">
        <f t="shared" ref="C419729:C419748" si="184">WEEKNUM(A419729)</f>
        <v>20</v>
      </c>
      <c r="D419729" s="5" t="s">
        <v>13</v>
      </c>
      <c r="E419729" s="11" t="s">
        <v>14</v>
      </c>
      <c r="F419729" s="9" t="s">
        <v>15</v>
      </c>
      <c r="G419729">
        <v>1</v>
      </c>
      <c r="J419729" s="7">
        <v>1</v>
      </c>
      <c r="K419729" s="11">
        <v>2026</v>
      </c>
      <c r="L419729" t="s">
        <v>25</v>
      </c>
      <c r="M419729" t="s">
        <v>17</v>
      </c>
    </row>
    <row r="419730" spans="1:13" x14ac:dyDescent="0.25">
      <c r="A419730" s="6">
        <v>46155.958333333336</v>
      </c>
      <c r="B419730" s="11">
        <f t="shared" si="183"/>
        <v>5</v>
      </c>
      <c r="C419730" s="11">
        <f t="shared" si="184"/>
        <v>20</v>
      </c>
      <c r="D419730" s="5" t="s">
        <v>13</v>
      </c>
      <c r="E419730" s="11" t="s">
        <v>14</v>
      </c>
      <c r="F419730" s="9" t="s">
        <v>15</v>
      </c>
      <c r="G419730">
        <v>1</v>
      </c>
      <c r="J419730" s="7">
        <v>19.12</v>
      </c>
      <c r="K419730" s="11">
        <v>2026</v>
      </c>
      <c r="L419730" t="s">
        <v>25</v>
      </c>
      <c r="M419730" t="s">
        <v>17</v>
      </c>
    </row>
    <row r="419731" spans="1:13" x14ac:dyDescent="0.25">
      <c r="A419731" s="6">
        <v>46152</v>
      </c>
      <c r="B419731" s="11">
        <f t="shared" si="183"/>
        <v>5</v>
      </c>
      <c r="C419731" s="11">
        <f t="shared" si="184"/>
        <v>20</v>
      </c>
      <c r="D419731" s="5" t="s">
        <v>18</v>
      </c>
      <c r="E419731" s="11" t="s">
        <v>14</v>
      </c>
      <c r="F419731" s="9" t="s">
        <v>22</v>
      </c>
      <c r="G419731">
        <v>1</v>
      </c>
      <c r="J419731" s="7">
        <v>2.5459999999999998</v>
      </c>
      <c r="K419731" s="11">
        <v>2026</v>
      </c>
      <c r="L419731" t="s">
        <v>25</v>
      </c>
      <c r="M419731" t="s">
        <v>17</v>
      </c>
    </row>
    <row r="419732" spans="1:13" x14ac:dyDescent="0.25">
      <c r="A419732" s="6">
        <v>46158.041666666664</v>
      </c>
      <c r="B419732" s="11">
        <f t="shared" si="183"/>
        <v>5</v>
      </c>
      <c r="C419732" s="11">
        <f t="shared" si="184"/>
        <v>20</v>
      </c>
      <c r="D419732" s="5" t="s">
        <v>18</v>
      </c>
      <c r="E419732" s="11" t="s">
        <v>14</v>
      </c>
      <c r="F419732" s="9" t="s">
        <v>15</v>
      </c>
      <c r="G419732">
        <v>1</v>
      </c>
      <c r="J419732" s="7">
        <v>7.9580000000000002</v>
      </c>
      <c r="K419732" s="11">
        <v>2026</v>
      </c>
      <c r="L419732" t="s">
        <v>25</v>
      </c>
      <c r="M419732" t="s">
        <v>17</v>
      </c>
    </row>
    <row r="419733" spans="1:13" x14ac:dyDescent="0.25">
      <c r="A419733" s="6">
        <v>46154.804861111108</v>
      </c>
      <c r="B419733" s="11">
        <f t="shared" si="183"/>
        <v>5</v>
      </c>
      <c r="C419733" s="11">
        <f t="shared" si="184"/>
        <v>20</v>
      </c>
      <c r="D419733" s="5" t="s">
        <v>18</v>
      </c>
      <c r="E419733" s="11" t="s">
        <v>14</v>
      </c>
      <c r="F419733" s="9" t="s">
        <v>22</v>
      </c>
      <c r="G419733">
        <v>1</v>
      </c>
      <c r="J419733" s="7">
        <v>9.23</v>
      </c>
      <c r="K419733" s="11">
        <v>2026</v>
      </c>
      <c r="L419733" t="s">
        <v>25</v>
      </c>
      <c r="M419733" t="s">
        <v>17</v>
      </c>
    </row>
    <row r="419734" spans="1:13" x14ac:dyDescent="0.25">
      <c r="A419734" s="6">
        <v>46154.817361111112</v>
      </c>
      <c r="B419734" s="11">
        <f t="shared" si="183"/>
        <v>5</v>
      </c>
      <c r="C419734" s="11">
        <f t="shared" si="184"/>
        <v>20</v>
      </c>
      <c r="D419734" s="5" t="s">
        <v>18</v>
      </c>
      <c r="E419734" s="11" t="s">
        <v>14</v>
      </c>
      <c r="F419734" s="9" t="s">
        <v>22</v>
      </c>
      <c r="G419734">
        <v>1</v>
      </c>
      <c r="J419734" s="7">
        <v>11.087999999999999</v>
      </c>
      <c r="K419734" s="11">
        <v>2026</v>
      </c>
      <c r="L419734" t="s">
        <v>25</v>
      </c>
      <c r="M419734" t="s">
        <v>17</v>
      </c>
    </row>
    <row r="419735" spans="1:13" x14ac:dyDescent="0.25">
      <c r="A419735" s="6">
        <v>46155</v>
      </c>
      <c r="B419735" s="11">
        <f t="shared" si="183"/>
        <v>5</v>
      </c>
      <c r="C419735" s="11">
        <f t="shared" si="184"/>
        <v>20</v>
      </c>
      <c r="D419735" s="5" t="s">
        <v>21</v>
      </c>
      <c r="E419735" s="11" t="s">
        <v>14</v>
      </c>
      <c r="F419735" s="9" t="s">
        <v>22</v>
      </c>
      <c r="G419735">
        <v>1</v>
      </c>
      <c r="J419735" s="7">
        <v>0.59799999999999998</v>
      </c>
      <c r="K419735" s="11">
        <v>2026</v>
      </c>
      <c r="L419735" t="s">
        <v>25</v>
      </c>
      <c r="M419735" t="s">
        <v>17</v>
      </c>
    </row>
    <row r="419736" spans="1:13" x14ac:dyDescent="0.25">
      <c r="A419736" s="6">
        <v>46157</v>
      </c>
      <c r="B419736" s="11">
        <f t="shared" si="183"/>
        <v>5</v>
      </c>
      <c r="C419736" s="11">
        <f t="shared" si="184"/>
        <v>20</v>
      </c>
      <c r="D419736" s="5" t="s">
        <v>18</v>
      </c>
      <c r="E419736" s="11" t="s">
        <v>14</v>
      </c>
      <c r="F419736" s="9" t="s">
        <v>22</v>
      </c>
      <c r="G419736">
        <v>1</v>
      </c>
      <c r="J419736" s="7">
        <v>1.84</v>
      </c>
      <c r="K419736" s="11">
        <v>2026</v>
      </c>
      <c r="L419736" t="s">
        <v>25</v>
      </c>
      <c r="M419736" t="s">
        <v>17</v>
      </c>
    </row>
    <row r="419737" spans="1:13" x14ac:dyDescent="0.25">
      <c r="A419737" s="6">
        <v>46156.208333333336</v>
      </c>
      <c r="B419737" s="11">
        <f t="shared" si="183"/>
        <v>5</v>
      </c>
      <c r="C419737" s="11">
        <f t="shared" si="184"/>
        <v>20</v>
      </c>
      <c r="D419737" s="5" t="s">
        <v>13</v>
      </c>
      <c r="E419737" s="11" t="s">
        <v>14</v>
      </c>
      <c r="F419737" s="9" t="s">
        <v>15</v>
      </c>
      <c r="G419737">
        <v>1</v>
      </c>
      <c r="J419737" s="7">
        <v>3.008</v>
      </c>
      <c r="K419737" s="11">
        <v>2026</v>
      </c>
      <c r="L419737" t="s">
        <v>25</v>
      </c>
      <c r="M419737" t="s">
        <v>17</v>
      </c>
    </row>
    <row r="419738" spans="1:13" x14ac:dyDescent="0.25">
      <c r="A419738" s="6">
        <v>46156.208333333336</v>
      </c>
      <c r="B419738" s="11">
        <f t="shared" si="183"/>
        <v>5</v>
      </c>
      <c r="C419738" s="11">
        <f t="shared" si="184"/>
        <v>20</v>
      </c>
      <c r="D419738" s="5" t="s">
        <v>13</v>
      </c>
      <c r="E419738" s="11" t="s">
        <v>14</v>
      </c>
      <c r="F419738" s="9" t="s">
        <v>15</v>
      </c>
      <c r="G419738">
        <v>1</v>
      </c>
      <c r="J419738" s="7">
        <v>2.9769999999999999</v>
      </c>
      <c r="K419738" s="11">
        <v>2026</v>
      </c>
      <c r="L419738" t="s">
        <v>25</v>
      </c>
      <c r="M419738" t="s">
        <v>17</v>
      </c>
    </row>
    <row r="419739" spans="1:13" x14ac:dyDescent="0.25">
      <c r="A419739" s="6">
        <v>46154.762499999997</v>
      </c>
      <c r="B419739" s="11">
        <f t="shared" si="183"/>
        <v>5</v>
      </c>
      <c r="C419739" s="11">
        <f t="shared" si="184"/>
        <v>20</v>
      </c>
      <c r="D419739" s="5" t="s">
        <v>24</v>
      </c>
      <c r="E419739" s="11" t="s">
        <v>14</v>
      </c>
      <c r="F419739" s="9" t="s">
        <v>22</v>
      </c>
      <c r="G419739">
        <v>1</v>
      </c>
      <c r="J419739" s="7">
        <v>1.3080000000000001</v>
      </c>
      <c r="K419739" s="11">
        <v>2026</v>
      </c>
      <c r="L419739" t="s">
        <v>25</v>
      </c>
      <c r="M419739" t="s">
        <v>17</v>
      </c>
    </row>
    <row r="419740" spans="1:13" x14ac:dyDescent="0.25">
      <c r="A419740" s="6">
        <v>46158.041666666664</v>
      </c>
      <c r="B419740" s="11">
        <f t="shared" si="183"/>
        <v>5</v>
      </c>
      <c r="C419740" s="11">
        <f t="shared" si="184"/>
        <v>20</v>
      </c>
      <c r="D419740" s="5" t="s">
        <v>13</v>
      </c>
      <c r="E419740" s="11" t="s">
        <v>14</v>
      </c>
      <c r="F419740" s="9" t="s">
        <v>22</v>
      </c>
      <c r="G419740">
        <v>1</v>
      </c>
      <c r="J419740" s="7">
        <v>1.3089999999999999</v>
      </c>
      <c r="K419740" s="11">
        <v>2026</v>
      </c>
      <c r="L419740" t="s">
        <v>25</v>
      </c>
      <c r="M419740" t="s">
        <v>17</v>
      </c>
    </row>
    <row r="419741" spans="1:13" x14ac:dyDescent="0.25">
      <c r="A419741" s="6">
        <v>46158</v>
      </c>
      <c r="B419741" s="11">
        <f t="shared" si="183"/>
        <v>5</v>
      </c>
      <c r="C419741" s="11">
        <f t="shared" si="184"/>
        <v>20</v>
      </c>
      <c r="D419741" s="5" t="s">
        <v>13</v>
      </c>
      <c r="E419741" s="11" t="s">
        <v>14</v>
      </c>
      <c r="F419741" s="9" t="s">
        <v>15</v>
      </c>
      <c r="G419741">
        <v>1</v>
      </c>
      <c r="J419741" s="7">
        <v>2.3039999999999998</v>
      </c>
      <c r="K419741" s="11">
        <v>2026</v>
      </c>
      <c r="L419741" t="s">
        <v>25</v>
      </c>
      <c r="M419741" t="s">
        <v>17</v>
      </c>
    </row>
    <row r="419742" spans="1:13" x14ac:dyDescent="0.25">
      <c r="A419742" s="6">
        <v>46158</v>
      </c>
      <c r="B419742" s="11">
        <f t="shared" si="183"/>
        <v>5</v>
      </c>
      <c r="C419742" s="11">
        <f t="shared" si="184"/>
        <v>20</v>
      </c>
      <c r="D419742" s="5" t="s">
        <v>13</v>
      </c>
      <c r="E419742" s="11" t="s">
        <v>14</v>
      </c>
      <c r="F419742" s="9" t="s">
        <v>15</v>
      </c>
      <c r="G419742">
        <v>1</v>
      </c>
      <c r="J419742" s="7">
        <v>3.552</v>
      </c>
      <c r="K419742" s="11">
        <v>2026</v>
      </c>
      <c r="L419742" t="s">
        <v>25</v>
      </c>
      <c r="M419742" t="s">
        <v>17</v>
      </c>
    </row>
    <row r="419743" spans="1:13" x14ac:dyDescent="0.25">
      <c r="A419743" s="6">
        <v>46153.1875</v>
      </c>
      <c r="B419743" s="11">
        <f t="shared" si="183"/>
        <v>5</v>
      </c>
      <c r="C419743" s="11">
        <f t="shared" si="184"/>
        <v>20</v>
      </c>
      <c r="D419743" s="5" t="s">
        <v>19</v>
      </c>
      <c r="E419743" s="11" t="s">
        <v>14</v>
      </c>
      <c r="F419743" s="9" t="s">
        <v>22</v>
      </c>
      <c r="G419743">
        <v>1</v>
      </c>
      <c r="J419743" s="7">
        <v>2.7</v>
      </c>
      <c r="K419743" s="11">
        <v>2026</v>
      </c>
      <c r="L419743" t="s">
        <v>25</v>
      </c>
      <c r="M419743" t="s">
        <v>17</v>
      </c>
    </row>
    <row r="419744" spans="1:13" x14ac:dyDescent="0.25">
      <c r="A419744" s="6">
        <v>46155</v>
      </c>
      <c r="B419744" s="11">
        <f t="shared" si="183"/>
        <v>5</v>
      </c>
      <c r="C419744" s="11">
        <f t="shared" si="184"/>
        <v>20</v>
      </c>
      <c r="D419744" s="5" t="s">
        <v>18</v>
      </c>
      <c r="E419744" s="11" t="s">
        <v>14</v>
      </c>
      <c r="F419744" s="9" t="s">
        <v>22</v>
      </c>
      <c r="G419744">
        <v>1</v>
      </c>
      <c r="J419744" s="7">
        <v>3.84</v>
      </c>
      <c r="K419744" s="11">
        <v>2026</v>
      </c>
      <c r="L419744" t="s">
        <v>25</v>
      </c>
      <c r="M419744" t="s">
        <v>17</v>
      </c>
    </row>
    <row r="419745" spans="1:13" x14ac:dyDescent="0.25">
      <c r="A419745" s="6">
        <v>46158.041666666664</v>
      </c>
      <c r="B419745" s="11">
        <f t="shared" si="183"/>
        <v>5</v>
      </c>
      <c r="C419745" s="11">
        <f t="shared" si="184"/>
        <v>20</v>
      </c>
      <c r="D419745" s="5" t="s">
        <v>13</v>
      </c>
      <c r="E419745" s="11" t="s">
        <v>14</v>
      </c>
      <c r="F419745" s="9" t="s">
        <v>15</v>
      </c>
      <c r="G419745">
        <v>1</v>
      </c>
      <c r="J419745" s="7">
        <v>1.653</v>
      </c>
      <c r="K419745" s="11">
        <v>2026</v>
      </c>
      <c r="L419745" t="s">
        <v>25</v>
      </c>
      <c r="M419745" t="s">
        <v>17</v>
      </c>
    </row>
    <row r="419746" spans="1:13" x14ac:dyDescent="0.25">
      <c r="A419746" s="6">
        <v>46156.208333333336</v>
      </c>
      <c r="B419746" s="11">
        <f t="shared" si="183"/>
        <v>5</v>
      </c>
      <c r="C419746" s="11">
        <f t="shared" si="184"/>
        <v>20</v>
      </c>
      <c r="D419746" s="5" t="s">
        <v>13</v>
      </c>
      <c r="E419746" s="11" t="s">
        <v>14</v>
      </c>
      <c r="F419746" s="9" t="s">
        <v>15</v>
      </c>
      <c r="G419746">
        <v>1</v>
      </c>
      <c r="J419746" s="7">
        <v>7.0309999999999997</v>
      </c>
      <c r="K419746" s="11">
        <v>2026</v>
      </c>
      <c r="L419746" t="s">
        <v>25</v>
      </c>
      <c r="M419746" t="s">
        <v>17</v>
      </c>
    </row>
    <row r="419747" spans="1:13" x14ac:dyDescent="0.25">
      <c r="A419747" s="6">
        <v>46156.208333333336</v>
      </c>
      <c r="B419747" s="11">
        <f t="shared" si="183"/>
        <v>5</v>
      </c>
      <c r="C419747" s="11">
        <f t="shared" si="184"/>
        <v>20</v>
      </c>
      <c r="D419747" s="5" t="s">
        <v>18</v>
      </c>
      <c r="E419747" s="11" t="s">
        <v>14</v>
      </c>
      <c r="F419747" s="9" t="s">
        <v>15</v>
      </c>
      <c r="G419747">
        <v>1</v>
      </c>
      <c r="J419747" s="7">
        <v>1.7509999999999999</v>
      </c>
      <c r="K419747" s="11">
        <v>2026</v>
      </c>
      <c r="L419747" t="s">
        <v>25</v>
      </c>
      <c r="M419747" t="s">
        <v>17</v>
      </c>
    </row>
    <row r="419748" spans="1:13" x14ac:dyDescent="0.25">
      <c r="A419748" s="6">
        <v>46156.208333333336</v>
      </c>
      <c r="B419748" s="11">
        <f t="shared" si="183"/>
        <v>5</v>
      </c>
      <c r="C419748" s="11">
        <f t="shared" si="184"/>
        <v>20</v>
      </c>
      <c r="D419748" s="5" t="s">
        <v>13</v>
      </c>
      <c r="E419748" s="11" t="s">
        <v>14</v>
      </c>
      <c r="F419748" s="9" t="s">
        <v>15</v>
      </c>
      <c r="G419748">
        <v>1</v>
      </c>
      <c r="J419748" s="7">
        <v>1.236</v>
      </c>
      <c r="K419748" s="11">
        <v>2026</v>
      </c>
      <c r="L419748" t="s">
        <v>25</v>
      </c>
      <c r="M419748" t="s">
        <v>17</v>
      </c>
    </row>
  </sheetData>
  <autoFilter ref="A1:M419748" xr:uid="{00000000-0009-0000-0000-000000000000}"/>
  <pageMargins left="0.75" right="0.75" top="1" bottom="1" header="0.5" footer="0.5"/>
  <headerFooter>
    <oddFooter>&amp;C&amp;"Aptos"&amp;10 &amp;K000000_x000D_#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K8" sqref="K8"/>
    </sheetView>
  </sheetViews>
  <sheetFormatPr defaultRowHeight="15" x14ac:dyDescent="0.25"/>
  <cols>
    <col min="5" max="5" width="11.140625" bestFit="1" customWidth="1"/>
    <col min="9" max="9" width="17.5703125" bestFit="1" customWidth="1"/>
    <col min="11" max="11" width="14.140625" bestFit="1" customWidth="1"/>
    <col min="12" max="12" width="11.5703125" bestFit="1" customWidth="1"/>
    <col min="13" max="13" width="12.85546875" bestFit="1" customWidth="1"/>
  </cols>
  <sheetData>
    <row r="1" spans="1:13" x14ac:dyDescent="0.25">
      <c r="A1" t="s">
        <v>27</v>
      </c>
      <c r="C1" t="s">
        <v>28</v>
      </c>
      <c r="E1" t="s">
        <v>29</v>
      </c>
      <c r="G1" t="s">
        <v>30</v>
      </c>
      <c r="I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18</v>
      </c>
      <c r="C2" t="s">
        <v>35</v>
      </c>
      <c r="E2" t="s">
        <v>36</v>
      </c>
      <c r="G2" t="s">
        <v>37</v>
      </c>
      <c r="I2" t="s">
        <v>38</v>
      </c>
      <c r="K2" t="s">
        <v>22</v>
      </c>
      <c r="L2">
        <v>2026</v>
      </c>
      <c r="M2">
        <v>2025</v>
      </c>
    </row>
    <row r="3" spans="1:13" x14ac:dyDescent="0.25">
      <c r="A3" t="s">
        <v>19</v>
      </c>
      <c r="C3" t="s">
        <v>39</v>
      </c>
      <c r="E3" t="s">
        <v>40</v>
      </c>
      <c r="G3" t="s">
        <v>41</v>
      </c>
      <c r="I3" t="s">
        <v>42</v>
      </c>
      <c r="K3" t="s">
        <v>15</v>
      </c>
    </row>
    <row r="4" spans="1:13" x14ac:dyDescent="0.25">
      <c r="A4" t="s">
        <v>23</v>
      </c>
      <c r="C4" t="s">
        <v>43</v>
      </c>
      <c r="E4" t="s">
        <v>17</v>
      </c>
    </row>
    <row r="5" spans="1:13" x14ac:dyDescent="0.25">
      <c r="A5" t="s">
        <v>24</v>
      </c>
      <c r="C5" t="s">
        <v>44</v>
      </c>
    </row>
    <row r="6" spans="1:13" x14ac:dyDescent="0.25">
      <c r="A6" t="s">
        <v>21</v>
      </c>
      <c r="C6" t="s">
        <v>45</v>
      </c>
    </row>
    <row r="7" spans="1:13" x14ac:dyDescent="0.25">
      <c r="A7" t="s">
        <v>20</v>
      </c>
      <c r="C7" t="s">
        <v>46</v>
      </c>
    </row>
    <row r="8" spans="1:13" x14ac:dyDescent="0.25">
      <c r="A8" t="s">
        <v>13</v>
      </c>
      <c r="C8" t="s">
        <v>47</v>
      </c>
    </row>
    <row r="9" spans="1:13" x14ac:dyDescent="0.25">
      <c r="A9" t="s">
        <v>48</v>
      </c>
    </row>
    <row r="10" spans="1:13" x14ac:dyDescent="0.25">
      <c r="A10" t="s">
        <v>26</v>
      </c>
    </row>
    <row r="11" spans="1:13" x14ac:dyDescent="0.25">
      <c r="A11" t="s">
        <v>49</v>
      </c>
    </row>
  </sheetData>
  <pageMargins left="0.75" right="0.75" top="1" bottom="1" header="0.5" footer="0.5"/>
  <headerFooter>
    <oddFooter>&amp;C&amp;"Aptos"&amp;10 &amp;K000000_x000D_#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B3" sqref="B3"/>
    </sheetView>
  </sheetViews>
  <sheetFormatPr defaultRowHeight="15" x14ac:dyDescent="0.25"/>
  <cols>
    <col min="1" max="1" width="20.28515625" bestFit="1" customWidth="1"/>
    <col min="2" max="2" width="21.7109375" bestFit="1" customWidth="1"/>
    <col min="3" max="3" width="37.42578125" bestFit="1" customWidth="1"/>
    <col min="4" max="4" width="28" bestFit="1" customWidth="1"/>
  </cols>
  <sheetData>
    <row r="1" spans="1:4" x14ac:dyDescent="0.25">
      <c r="A1" s="16" t="s">
        <v>50</v>
      </c>
      <c r="B1" s="17"/>
      <c r="C1" s="17"/>
      <c r="D1" s="17"/>
    </row>
    <row r="2" spans="1:4" x14ac:dyDescent="0.25">
      <c r="A2" s="2" t="s">
        <v>51</v>
      </c>
      <c r="B2" s="2" t="s">
        <v>52</v>
      </c>
      <c r="C2" s="2" t="s">
        <v>40</v>
      </c>
      <c r="D2" s="2" t="s">
        <v>17</v>
      </c>
    </row>
    <row r="3" spans="1:4" x14ac:dyDescent="0.25">
      <c r="A3" s="2" t="s">
        <v>53</v>
      </c>
      <c r="B3" s="4" t="s">
        <v>54</v>
      </c>
      <c r="C3" s="4" t="s">
        <v>54</v>
      </c>
      <c r="D3" s="4" t="s">
        <v>54</v>
      </c>
    </row>
    <row r="4" spans="1:4" x14ac:dyDescent="0.25">
      <c r="A4" s="2" t="s">
        <v>55</v>
      </c>
      <c r="B4" s="10" t="s">
        <v>56</v>
      </c>
      <c r="C4" s="10" t="s">
        <v>56</v>
      </c>
      <c r="D4" s="10" t="s">
        <v>56</v>
      </c>
    </row>
    <row r="5" spans="1:4" x14ac:dyDescent="0.25">
      <c r="A5" s="2" t="s">
        <v>57</v>
      </c>
      <c r="B5" s="10" t="s">
        <v>56</v>
      </c>
      <c r="C5" s="10" t="s">
        <v>56</v>
      </c>
      <c r="D5" s="10" t="s">
        <v>56</v>
      </c>
    </row>
    <row r="6" spans="1:4" x14ac:dyDescent="0.25">
      <c r="A6" s="2" t="s">
        <v>58</v>
      </c>
      <c r="B6" s="4" t="s">
        <v>3</v>
      </c>
      <c r="C6" s="4" t="s">
        <v>3</v>
      </c>
      <c r="D6" s="4" t="s">
        <v>3</v>
      </c>
    </row>
    <row r="7" spans="1:4" x14ac:dyDescent="0.25">
      <c r="A7" s="2" t="s">
        <v>59</v>
      </c>
      <c r="B7" s="4" t="s">
        <v>60</v>
      </c>
      <c r="C7" s="4" t="s">
        <v>60</v>
      </c>
      <c r="D7" s="4" t="s">
        <v>60</v>
      </c>
    </row>
    <row r="8" spans="1:4" x14ac:dyDescent="0.25">
      <c r="A8" s="2" t="s">
        <v>61</v>
      </c>
      <c r="B8" s="4" t="s">
        <v>62</v>
      </c>
      <c r="C8" s="4" t="s">
        <v>63</v>
      </c>
      <c r="D8" s="4" t="s">
        <v>64</v>
      </c>
    </row>
    <row r="9" spans="1:4" x14ac:dyDescent="0.25">
      <c r="A9" s="2" t="s">
        <v>65</v>
      </c>
      <c r="B9" s="4" t="s">
        <v>66</v>
      </c>
      <c r="C9" s="4" t="s">
        <v>66</v>
      </c>
      <c r="D9" s="4" t="s">
        <v>66</v>
      </c>
    </row>
    <row r="10" spans="1:4" x14ac:dyDescent="0.25">
      <c r="A10" s="2" t="s">
        <v>67</v>
      </c>
      <c r="B10" s="4" t="s">
        <v>7</v>
      </c>
      <c r="C10" s="4" t="s">
        <v>68</v>
      </c>
      <c r="D10" s="4" t="s">
        <v>68</v>
      </c>
    </row>
    <row r="11" spans="1:4" x14ac:dyDescent="0.25">
      <c r="A11" s="2" t="s">
        <v>69</v>
      </c>
      <c r="B11" s="4" t="s">
        <v>68</v>
      </c>
      <c r="C11" s="4" t="s">
        <v>8</v>
      </c>
      <c r="D11" s="4" t="s">
        <v>68</v>
      </c>
    </row>
    <row r="12" spans="1:4" x14ac:dyDescent="0.25">
      <c r="A12" s="2" t="s">
        <v>70</v>
      </c>
      <c r="B12" s="4" t="s">
        <v>68</v>
      </c>
      <c r="C12" s="4" t="s">
        <v>68</v>
      </c>
      <c r="D12" s="4" t="s">
        <v>9</v>
      </c>
    </row>
    <row r="13" spans="1:4" x14ac:dyDescent="0.25">
      <c r="A13" s="2" t="s">
        <v>71</v>
      </c>
      <c r="B13" s="10" t="s">
        <v>56</v>
      </c>
      <c r="C13" s="10" t="s">
        <v>56</v>
      </c>
      <c r="D13" s="10" t="s">
        <v>56</v>
      </c>
    </row>
    <row r="14" spans="1:4" x14ac:dyDescent="0.25">
      <c r="A14" s="2" t="s">
        <v>72</v>
      </c>
      <c r="B14" s="4" t="s">
        <v>73</v>
      </c>
      <c r="C14" s="4" t="s">
        <v>73</v>
      </c>
      <c r="D14" s="4" t="s">
        <v>73</v>
      </c>
    </row>
    <row r="15" spans="1:4" x14ac:dyDescent="0.25">
      <c r="A15" s="2" t="s">
        <v>74</v>
      </c>
      <c r="B15" s="4" t="s">
        <v>68</v>
      </c>
      <c r="C15" s="4" t="s">
        <v>40</v>
      </c>
      <c r="D15" s="4" t="s">
        <v>17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9313-871A-49B8-9388-26AD9D570B25}">
  <dimension ref="A1:AC24"/>
  <sheetViews>
    <sheetView topLeftCell="M6" workbookViewId="0">
      <selection activeCell="U14" sqref="U14:AC24"/>
    </sheetView>
  </sheetViews>
  <sheetFormatPr defaultRowHeight="15" x14ac:dyDescent="0.25"/>
  <cols>
    <col min="2" max="2" width="8.5703125" bestFit="1" customWidth="1"/>
    <col min="3" max="3" width="11.85546875" customWidth="1"/>
    <col min="7" max="7" width="8.42578125" bestFit="1" customWidth="1"/>
    <col min="8" max="8" width="11.140625" bestFit="1" customWidth="1"/>
  </cols>
  <sheetData>
    <row r="1" spans="1:29" ht="15.6" customHeight="1" x14ac:dyDescent="0.25">
      <c r="A1" s="18" t="s">
        <v>75</v>
      </c>
      <c r="B1" s="18"/>
      <c r="C1" s="18"/>
      <c r="F1" s="18" t="s">
        <v>76</v>
      </c>
      <c r="G1" s="18"/>
      <c r="H1" s="18"/>
      <c r="K1" s="12" t="s">
        <v>77</v>
      </c>
      <c r="L1" s="12" t="s">
        <v>18</v>
      </c>
      <c r="M1" s="12" t="s">
        <v>19</v>
      </c>
      <c r="N1" s="12" t="s">
        <v>23</v>
      </c>
      <c r="O1" s="12" t="s">
        <v>24</v>
      </c>
      <c r="P1" s="12" t="s">
        <v>21</v>
      </c>
      <c r="Q1" s="12" t="s">
        <v>20</v>
      </c>
      <c r="R1" s="12" t="s">
        <v>13</v>
      </c>
      <c r="S1" s="12" t="s">
        <v>48</v>
      </c>
      <c r="U1" s="12" t="s">
        <v>77</v>
      </c>
      <c r="V1" s="12" t="s">
        <v>18</v>
      </c>
      <c r="W1" s="12" t="s">
        <v>19</v>
      </c>
      <c r="X1" s="12" t="s">
        <v>23</v>
      </c>
      <c r="Y1" s="12" t="s">
        <v>24</v>
      </c>
      <c r="Z1" s="12" t="s">
        <v>21</v>
      </c>
      <c r="AA1" s="12" t="s">
        <v>20</v>
      </c>
      <c r="AB1" s="12" t="s">
        <v>13</v>
      </c>
      <c r="AC1" s="12" t="s">
        <v>48</v>
      </c>
    </row>
    <row r="2" spans="1:29" x14ac:dyDescent="0.25">
      <c r="A2" s="12" t="s">
        <v>77</v>
      </c>
      <c r="B2" s="12">
        <v>2025</v>
      </c>
      <c r="C2" s="12">
        <v>2026</v>
      </c>
      <c r="F2" s="12" t="s">
        <v>77</v>
      </c>
      <c r="G2" s="12">
        <v>2025</v>
      </c>
      <c r="H2" s="12">
        <v>2026</v>
      </c>
      <c r="K2">
        <v>15</v>
      </c>
      <c r="L2" s="13">
        <f>SUMIFS(Raw_Data!$G:$G,Raw_Data!$C:$C,$K2,Raw_Data!$K:$K,2026,Raw_Data!$M:$M,"LCL",Raw_Data!$L:$L,"IMPO",Raw_Data!$D:$D,L$1)</f>
        <v>71</v>
      </c>
      <c r="M2" s="13">
        <f>SUMIFS(Raw_Data!$G:$G,Raw_Data!$C:$C,$K2,Raw_Data!$K:$K,2026,Raw_Data!$M:$M,"LCL",Raw_Data!$L:$L,"IMPO",Raw_Data!$D:$D,M$1)</f>
        <v>14</v>
      </c>
      <c r="N2" s="13">
        <f>SUMIFS(Raw_Data!$G:$G,Raw_Data!$C:$C,$K2,Raw_Data!$K:$K,2026,Raw_Data!$M:$M,"LCL",Raw_Data!$L:$L,"IMPO",Raw_Data!$D:$D,N$1)</f>
        <v>1</v>
      </c>
      <c r="O2" s="13">
        <f>SUMIFS(Raw_Data!$G:$G,Raw_Data!$C:$C,$K2,Raw_Data!$K:$K,2026,Raw_Data!$M:$M,"LCL",Raw_Data!$L:$L,"IMPO",Raw_Data!$D:$D,O$1)</f>
        <v>0</v>
      </c>
      <c r="P2" s="13">
        <f>SUMIFS(Raw_Data!$G:$G,Raw_Data!$C:$C,$K2,Raw_Data!$K:$K,2026,Raw_Data!$M:$M,"LCL",Raw_Data!$L:$L,"IMPO",Raw_Data!$D:$D,P$1)</f>
        <v>13</v>
      </c>
      <c r="Q2" s="13">
        <f>SUMIFS(Raw_Data!$G:$G,Raw_Data!$C:$C,$K2,Raw_Data!$K:$K,2026,Raw_Data!$M:$M,"LCL",Raw_Data!$L:$L,"IMPO",Raw_Data!$D:$D,Q$1)</f>
        <v>17</v>
      </c>
      <c r="R2" s="13">
        <f>SUMIFS(Raw_Data!$G:$G,Raw_Data!$C:$C,$K2,Raw_Data!$K:$K,2026,Raw_Data!$M:$M,"LCL",Raw_Data!$L:$L,"IMPO",Raw_Data!$D:$D,R$1)</f>
        <v>120</v>
      </c>
      <c r="S2" s="13">
        <f>SUMIFS(Raw_Data!$G:$G,Raw_Data!$C:$C,$K2,Raw_Data!$K:$K,2026,Raw_Data!$M:$M,"LCL",Raw_Data!$L:$L,"IMPO",Raw_Data!$D:$D,S$1)</f>
        <v>0</v>
      </c>
      <c r="U2">
        <v>15</v>
      </c>
      <c r="V2" s="13">
        <f>SUMIFS(Raw_Data!$J:$J,Raw_Data!$C:$C,$K2,Raw_Data!$K:$K,2026,Raw_Data!$M:$M,"LCL",Raw_Data!$L:$L,"IMPO",Raw_Data!$D:$D,V$1)</f>
        <v>222.78299999999999</v>
      </c>
      <c r="W2" s="13">
        <f>SUMIFS(Raw_Data!$J:$J,Raw_Data!$C:$C,$K2,Raw_Data!$K:$K,2026,Raw_Data!$M:$M,"LCL",Raw_Data!$L:$L,"IMPO",Raw_Data!$D:$D,W$1)</f>
        <v>64.158000000000001</v>
      </c>
      <c r="X2" s="13">
        <f>SUMIFS(Raw_Data!$J:$J,Raw_Data!$C:$C,$K2,Raw_Data!$K:$K,2026,Raw_Data!$M:$M,"LCL",Raw_Data!$L:$L,"IMPO",Raw_Data!$D:$D,X$1)</f>
        <v>0.74299999999999999</v>
      </c>
      <c r="Y2" s="13">
        <f>SUMIFS(Raw_Data!$J:$J,Raw_Data!$C:$C,$K2,Raw_Data!$K:$K,2026,Raw_Data!$M:$M,"LCL",Raw_Data!$L:$L,"IMPO",Raw_Data!$D:$D,Y$1)</f>
        <v>0</v>
      </c>
      <c r="Z2" s="13">
        <f>SUMIFS(Raw_Data!$J:$J,Raw_Data!$C:$C,$K2,Raw_Data!$K:$K,2026,Raw_Data!$M:$M,"LCL",Raw_Data!$L:$L,"IMPO",Raw_Data!$D:$D,Z$1)</f>
        <v>43.11</v>
      </c>
      <c r="AA2" s="13">
        <f>SUMIFS(Raw_Data!$J:$J,Raw_Data!$C:$C,$K2,Raw_Data!$K:$K,2026,Raw_Data!$M:$M,"LCL",Raw_Data!$L:$L,"IMPO",Raw_Data!$D:$D,AA$1)</f>
        <v>67.233000000000004</v>
      </c>
      <c r="AB2" s="13">
        <f>SUMIFS(Raw_Data!$J:$J,Raw_Data!$C:$C,$K2,Raw_Data!$K:$K,2026,Raw_Data!$M:$M,"LCL",Raw_Data!$L:$L,"IMPO",Raw_Data!$D:$D,AB$1)</f>
        <v>410.82300000000009</v>
      </c>
      <c r="AC2" s="13">
        <f>SUMIFS(Raw_Data!$J:$J,Raw_Data!$C:$C,$K2,Raw_Data!$K:$K,2026,Raw_Data!$M:$M,"LCL",Raw_Data!$L:$L,"IMPO",Raw_Data!$D:$D,AC$1)</f>
        <v>0</v>
      </c>
    </row>
    <row r="3" spans="1:29" x14ac:dyDescent="0.25">
      <c r="A3">
        <v>15</v>
      </c>
      <c r="B3" s="14">
        <f>SUMIFS(Raw_Data!$G:$G,Raw_Data!$C:$C,$A3,Raw_Data!$K:$K,B$2,Raw_Data!$M:$M,"LCL",Raw_Data!$L:$L,"IMPO")</f>
        <v>0</v>
      </c>
      <c r="C3" s="13">
        <f>SUMIFS(Raw_Data!$G:$G,Raw_Data!$C:$C,$A3,Raw_Data!$K:$K,C$2,Raw_Data!$M:$M,"LCL",Raw_Data!$L:$L,"IMPO")</f>
        <v>236</v>
      </c>
      <c r="F3">
        <v>15</v>
      </c>
      <c r="G3">
        <f>SUMIFS(Raw_Data!$G:$G,Raw_Data!$C:$C,$F3,Raw_Data!$K:$K,G$2,Raw_Data!$M:$M,"LCL",Raw_Data!$L:$L,"EXPO")</f>
        <v>0</v>
      </c>
      <c r="H3">
        <f>SUMIFS(Raw_Data!$G:$G,Raw_Data!$C:$C,$F3,Raw_Data!$K:$K,H$2,Raw_Data!$M:$M,"LCL",Raw_Data!$L:$L,"EXPO")</f>
        <v>77</v>
      </c>
      <c r="K3">
        <v>16</v>
      </c>
      <c r="L3" s="13">
        <f>SUMIFS(Raw_Data!$G:$G,Raw_Data!$C:$C,$K3,Raw_Data!$K:$K,2026,Raw_Data!$M:$M,"LCL",Raw_Data!$L:$L,"IMPO",Raw_Data!$D:$D,L$1)</f>
        <v>67</v>
      </c>
      <c r="M3" s="13">
        <f>SUMIFS(Raw_Data!$G:$G,Raw_Data!$C:$C,$K3,Raw_Data!$K:$K,2026,Raw_Data!$M:$M,"LCL",Raw_Data!$L:$L,"IMPO",Raw_Data!$D:$D,M$1)</f>
        <v>5</v>
      </c>
      <c r="N3" s="13">
        <f>SUMIFS(Raw_Data!$G:$G,Raw_Data!$C:$C,$K3,Raw_Data!$K:$K,2026,Raw_Data!$M:$M,"LCL",Raw_Data!$L:$L,"IMPO",Raw_Data!$D:$D,N$1)</f>
        <v>2</v>
      </c>
      <c r="O3" s="13">
        <f>SUMIFS(Raw_Data!$G:$G,Raw_Data!$C:$C,$K3,Raw_Data!$K:$K,2026,Raw_Data!$M:$M,"LCL",Raw_Data!$L:$L,"IMPO",Raw_Data!$D:$D,O$1)</f>
        <v>1</v>
      </c>
      <c r="P3" s="13">
        <f>SUMIFS(Raw_Data!$G:$G,Raw_Data!$C:$C,$K3,Raw_Data!$K:$K,2026,Raw_Data!$M:$M,"LCL",Raw_Data!$L:$L,"IMPO",Raw_Data!$D:$D,P$1)</f>
        <v>4</v>
      </c>
      <c r="Q3" s="13">
        <f>SUMIFS(Raw_Data!$G:$G,Raw_Data!$C:$C,$K3,Raw_Data!$K:$K,2026,Raw_Data!$M:$M,"LCL",Raw_Data!$L:$L,"IMPO",Raw_Data!$D:$D,Q$1)</f>
        <v>12</v>
      </c>
      <c r="R3" s="13">
        <f>SUMIFS(Raw_Data!$G:$G,Raw_Data!$C:$C,$K3,Raw_Data!$K:$K,2026,Raw_Data!$M:$M,"LCL",Raw_Data!$L:$L,"IMPO",Raw_Data!$D:$D,R$1)</f>
        <v>114</v>
      </c>
      <c r="S3" s="13">
        <f>SUMIFS(Raw_Data!$G:$G,Raw_Data!$C:$C,$K3,Raw_Data!$K:$K,2026,Raw_Data!$M:$M,"LCL",Raw_Data!$L:$L,"IMPO",Raw_Data!$D:$D,S$1)</f>
        <v>0</v>
      </c>
      <c r="U3">
        <v>16</v>
      </c>
      <c r="V3" s="13">
        <f>SUMIFS(Raw_Data!$J:$J,Raw_Data!$C:$C,$K3,Raw_Data!$K:$K,2026,Raw_Data!$M:$M,"LCL",Raw_Data!$L:$L,"IMPO",Raw_Data!$D:$D,V$1)</f>
        <v>262.84900000000005</v>
      </c>
      <c r="W3" s="13">
        <f>SUMIFS(Raw_Data!$J:$J,Raw_Data!$C:$C,$K3,Raw_Data!$K:$K,2026,Raw_Data!$M:$M,"LCL",Raw_Data!$L:$L,"IMPO",Raw_Data!$D:$D,W$1)</f>
        <v>10.755000000000001</v>
      </c>
      <c r="X3" s="13">
        <f>SUMIFS(Raw_Data!$J:$J,Raw_Data!$C:$C,$K3,Raw_Data!$K:$K,2026,Raw_Data!$M:$M,"LCL",Raw_Data!$L:$L,"IMPO",Raw_Data!$D:$D,X$1)</f>
        <v>4.4660000000000002</v>
      </c>
      <c r="Y3" s="13">
        <f>SUMIFS(Raw_Data!$J:$J,Raw_Data!$C:$C,$K3,Raw_Data!$K:$K,2026,Raw_Data!$M:$M,"LCL",Raw_Data!$L:$L,"IMPO",Raw_Data!$D:$D,Y$1)</f>
        <v>5.8490000000000002</v>
      </c>
      <c r="Z3" s="13">
        <f>SUMIFS(Raw_Data!$J:$J,Raw_Data!$C:$C,$K3,Raw_Data!$K:$K,2026,Raw_Data!$M:$M,"LCL",Raw_Data!$L:$L,"IMPO",Raw_Data!$D:$D,Z$1)</f>
        <v>2.6820000000000004</v>
      </c>
      <c r="AA3" s="13">
        <f>SUMIFS(Raw_Data!$J:$J,Raw_Data!$C:$C,$K3,Raw_Data!$K:$K,2026,Raw_Data!$M:$M,"LCL",Raw_Data!$L:$L,"IMPO",Raw_Data!$D:$D,AA$1)</f>
        <v>24.08</v>
      </c>
      <c r="AB3" s="13">
        <f>SUMIFS(Raw_Data!$J:$J,Raw_Data!$C:$C,$K3,Raw_Data!$K:$K,2026,Raw_Data!$M:$M,"LCL",Raw_Data!$L:$L,"IMPO",Raw_Data!$D:$D,AB$1)</f>
        <v>432.72699999999992</v>
      </c>
      <c r="AC3" s="13">
        <f>SUMIFS(Raw_Data!$J:$J,Raw_Data!$C:$C,$K3,Raw_Data!$K:$K,2026,Raw_Data!$M:$M,"LCL",Raw_Data!$L:$L,"IMPO",Raw_Data!$D:$D,AC$1)</f>
        <v>0</v>
      </c>
    </row>
    <row r="4" spans="1:29" x14ac:dyDescent="0.25">
      <c r="A4">
        <v>16</v>
      </c>
      <c r="B4" s="14">
        <f>SUMIFS(Raw_Data!$G:$G,Raw_Data!$C:$C,$A4,Raw_Data!$K:$K,B$2,Raw_Data!$M:$M,"LCL",Raw_Data!$L:$L,"IMPO")</f>
        <v>0</v>
      </c>
      <c r="C4" s="13">
        <f>SUMIFS(Raw_Data!$G:$G,Raw_Data!$C:$C,$A4,Raw_Data!$K:$K,C$2,Raw_Data!$M:$M,"LCL",Raw_Data!$L:$L,"IMPO")</f>
        <v>206</v>
      </c>
      <c r="F4">
        <v>16</v>
      </c>
      <c r="G4">
        <f>SUMIFS(Raw_Data!$G:$G,Raw_Data!$C:$C,$F4,Raw_Data!$K:$K,G$2,Raw_Data!$M:$M,"LCL",Raw_Data!$L:$L,"EXPO")</f>
        <v>0</v>
      </c>
      <c r="H4">
        <f>SUMIFS(Raw_Data!$G:$G,Raw_Data!$C:$C,$F4,Raw_Data!$K:$K,H$2,Raw_Data!$M:$M,"LCL",Raw_Data!$L:$L,"EXPO")</f>
        <v>119</v>
      </c>
      <c r="K4" s="13">
        <v>17</v>
      </c>
      <c r="L4" s="13">
        <f>SUMIFS(Raw_Data!$G:$G,Raw_Data!$C:$C,$K4,Raw_Data!$K:$K,2026,Raw_Data!$M:$M,"LCL",Raw_Data!$L:$L,"IMPO",Raw_Data!$D:$D,L$1)</f>
        <v>58</v>
      </c>
      <c r="M4" s="13">
        <f>SUMIFS(Raw_Data!$G:$G,Raw_Data!$C:$C,$K4,Raw_Data!$K:$K,2026,Raw_Data!$M:$M,"LCL",Raw_Data!$L:$L,"IMPO",Raw_Data!$D:$D,M$1)</f>
        <v>12</v>
      </c>
      <c r="N4" s="13">
        <f>SUMIFS(Raw_Data!$G:$G,Raw_Data!$C:$C,$K4,Raw_Data!$K:$K,2026,Raw_Data!$M:$M,"LCL",Raw_Data!$L:$L,"IMPO",Raw_Data!$D:$D,N$1)</f>
        <v>3</v>
      </c>
      <c r="O4" s="13">
        <f>SUMIFS(Raw_Data!$G:$G,Raw_Data!$C:$C,$K4,Raw_Data!$K:$K,2026,Raw_Data!$M:$M,"LCL",Raw_Data!$L:$L,"IMPO",Raw_Data!$D:$D,O$1)</f>
        <v>1</v>
      </c>
      <c r="P4" s="13">
        <f>SUMIFS(Raw_Data!$G:$G,Raw_Data!$C:$C,$K4,Raw_Data!$K:$K,2026,Raw_Data!$M:$M,"LCL",Raw_Data!$L:$L,"IMPO",Raw_Data!$D:$D,P$1)</f>
        <v>11</v>
      </c>
      <c r="Q4" s="13">
        <f>SUMIFS(Raw_Data!$G:$G,Raw_Data!$C:$C,$K4,Raw_Data!$K:$K,2026,Raw_Data!$M:$M,"LCL",Raw_Data!$L:$L,"IMPO",Raw_Data!$D:$D,Q$1)</f>
        <v>7</v>
      </c>
      <c r="R4" s="13">
        <f>SUMIFS(Raw_Data!$G:$G,Raw_Data!$C:$C,$K4,Raw_Data!$K:$K,2026,Raw_Data!$M:$M,"LCL",Raw_Data!$L:$L,"IMPO",Raw_Data!$D:$D,R$1)</f>
        <v>93</v>
      </c>
      <c r="S4" s="13">
        <f>SUMIFS(Raw_Data!$G:$G,Raw_Data!$C:$C,$K4,Raw_Data!$K:$K,2026,Raw_Data!$M:$M,"LCL",Raw_Data!$L:$L,"IMPO",Raw_Data!$D:$D,S$1)</f>
        <v>0</v>
      </c>
      <c r="U4" s="13">
        <v>17</v>
      </c>
      <c r="V4" s="13">
        <f>SUMIFS(Raw_Data!$J:$J,Raw_Data!$C:$C,$K4,Raw_Data!$K:$K,2026,Raw_Data!$M:$M,"LCL",Raw_Data!$L:$L,"IMPO",Raw_Data!$D:$D,V$1)</f>
        <v>237.80500000000001</v>
      </c>
      <c r="W4" s="13">
        <f>SUMIFS(Raw_Data!$J:$J,Raw_Data!$C:$C,$K4,Raw_Data!$K:$K,2026,Raw_Data!$M:$M,"LCL",Raw_Data!$L:$L,"IMPO",Raw_Data!$D:$D,W$1)</f>
        <v>34.025000000000006</v>
      </c>
      <c r="X4" s="13">
        <f>SUMIFS(Raw_Data!$J:$J,Raw_Data!$C:$C,$K4,Raw_Data!$K:$K,2026,Raw_Data!$M:$M,"LCL",Raw_Data!$L:$L,"IMPO",Raw_Data!$D:$D,X$1)</f>
        <v>8.1620000000000008</v>
      </c>
      <c r="Y4" s="13">
        <f>SUMIFS(Raw_Data!$J:$J,Raw_Data!$C:$C,$K4,Raw_Data!$K:$K,2026,Raw_Data!$M:$M,"LCL",Raw_Data!$L:$L,"IMPO",Raw_Data!$D:$D,Y$1)</f>
        <v>1.71</v>
      </c>
      <c r="Z4" s="13">
        <f>SUMIFS(Raw_Data!$J:$J,Raw_Data!$C:$C,$K4,Raw_Data!$K:$K,2026,Raw_Data!$M:$M,"LCL",Raw_Data!$L:$L,"IMPO",Raw_Data!$D:$D,Z$1)</f>
        <v>27.464000000000006</v>
      </c>
      <c r="AA4" s="13">
        <f>SUMIFS(Raw_Data!$J:$J,Raw_Data!$C:$C,$K4,Raw_Data!$K:$K,2026,Raw_Data!$M:$M,"LCL",Raw_Data!$L:$L,"IMPO",Raw_Data!$D:$D,AA$1)</f>
        <v>33.140999999999998</v>
      </c>
      <c r="AB4" s="13">
        <f>SUMIFS(Raw_Data!$J:$J,Raw_Data!$C:$C,$K4,Raw_Data!$K:$K,2026,Raw_Data!$M:$M,"LCL",Raw_Data!$L:$L,"IMPO",Raw_Data!$D:$D,AB$1)</f>
        <v>384.09000000000009</v>
      </c>
      <c r="AC4" s="13">
        <f>SUMIFS(Raw_Data!$J:$J,Raw_Data!$C:$C,$K4,Raw_Data!$K:$K,2026,Raw_Data!$M:$M,"LCL",Raw_Data!$L:$L,"IMPO",Raw_Data!$D:$D,AC$1)</f>
        <v>0</v>
      </c>
    </row>
    <row r="5" spans="1:29" x14ac:dyDescent="0.25">
      <c r="A5" s="13">
        <v>17</v>
      </c>
      <c r="B5" s="14">
        <f>SUMIFS(Raw_Data!$G:$G,Raw_Data!$C:$C,$A5,Raw_Data!$K:$K,B$2,Raw_Data!$M:$M,"LCL",Raw_Data!$L:$L,"IMPO")</f>
        <v>0</v>
      </c>
      <c r="C5" s="13">
        <f>SUMIFS(Raw_Data!$G:$G,Raw_Data!$C:$C,$A5,Raw_Data!$K:$K,C$2,Raw_Data!$M:$M,"LCL",Raw_Data!$L:$L,"IMPO")</f>
        <v>185</v>
      </c>
      <c r="F5" s="13">
        <v>17</v>
      </c>
      <c r="G5">
        <f>SUMIFS(Raw_Data!$G:$G,Raw_Data!$C:$C,$F5,Raw_Data!$K:$K,G$2,Raw_Data!$M:$M,"LCL",Raw_Data!$L:$L,"EXPO")</f>
        <v>0</v>
      </c>
      <c r="H5">
        <f>SUMIFS(Raw_Data!$G:$G,Raw_Data!$C:$C,$F5,Raw_Data!$K:$K,H$2,Raw_Data!$M:$M,"LCL",Raw_Data!$L:$L,"EXPO")</f>
        <v>108</v>
      </c>
      <c r="K5" s="13">
        <v>18</v>
      </c>
      <c r="L5" s="13">
        <f>SUMIFS(Raw_Data!$G:$G,Raw_Data!$C:$C,$K5,Raw_Data!$K:$K,2026,Raw_Data!$M:$M,"LCL",Raw_Data!$L:$L,"IMPO",Raw_Data!$D:$D,L$1)</f>
        <v>102</v>
      </c>
      <c r="M5" s="13">
        <f>SUMIFS(Raw_Data!$G:$G,Raw_Data!$C:$C,$K5,Raw_Data!$K:$K,2026,Raw_Data!$M:$M,"LCL",Raw_Data!$L:$L,"IMPO",Raw_Data!$D:$D,M$1)</f>
        <v>18</v>
      </c>
      <c r="N5" s="13">
        <f>SUMIFS(Raw_Data!$G:$G,Raw_Data!$C:$C,$K5,Raw_Data!$K:$K,2026,Raw_Data!$M:$M,"LCL",Raw_Data!$L:$L,"IMPO",Raw_Data!$D:$D,N$1)</f>
        <v>7</v>
      </c>
      <c r="O5" s="13">
        <f>SUMIFS(Raw_Data!$G:$G,Raw_Data!$C:$C,$K5,Raw_Data!$K:$K,2026,Raw_Data!$M:$M,"LCL",Raw_Data!$L:$L,"IMPO",Raw_Data!$D:$D,O$1)</f>
        <v>7</v>
      </c>
      <c r="P5" s="13">
        <f>SUMIFS(Raw_Data!$G:$G,Raw_Data!$C:$C,$K5,Raw_Data!$K:$K,2026,Raw_Data!$M:$M,"LCL",Raw_Data!$L:$L,"IMPO",Raw_Data!$D:$D,P$1)</f>
        <v>18</v>
      </c>
      <c r="Q5" s="13">
        <f>SUMIFS(Raw_Data!$G:$G,Raw_Data!$C:$C,$K5,Raw_Data!$K:$K,2026,Raw_Data!$M:$M,"LCL",Raw_Data!$L:$L,"IMPO",Raw_Data!$D:$D,Q$1)</f>
        <v>13</v>
      </c>
      <c r="R5" s="13">
        <f>SUMIFS(Raw_Data!$G:$G,Raw_Data!$C:$C,$K5,Raw_Data!$K:$K,2026,Raw_Data!$M:$M,"LCL",Raw_Data!$L:$L,"IMPO",Raw_Data!$D:$D,R$1)</f>
        <v>162</v>
      </c>
      <c r="S5" s="13">
        <f>SUMIFS(Raw_Data!$G:$G,Raw_Data!$C:$C,$K5,Raw_Data!$K:$K,2026,Raw_Data!$M:$M,"LCL",Raw_Data!$L:$L,"IMPO",Raw_Data!$D:$D,S$1)</f>
        <v>0</v>
      </c>
      <c r="U5" s="13">
        <v>18</v>
      </c>
      <c r="V5" s="13">
        <f>SUMIFS(Raw_Data!$J:$J,Raw_Data!$C:$C,$K5,Raw_Data!$K:$K,2026,Raw_Data!$M:$M,"LCL",Raw_Data!$L:$L,"IMPO",Raw_Data!$D:$D,V$1)</f>
        <v>342.892</v>
      </c>
      <c r="W5" s="13">
        <f>SUMIFS(Raw_Data!$J:$J,Raw_Data!$C:$C,$K5,Raw_Data!$K:$K,2026,Raw_Data!$M:$M,"LCL",Raw_Data!$L:$L,"IMPO",Raw_Data!$D:$D,W$1)</f>
        <v>72.936999999999998</v>
      </c>
      <c r="X5" s="13">
        <f>SUMIFS(Raw_Data!$J:$J,Raw_Data!$C:$C,$K5,Raw_Data!$K:$K,2026,Raw_Data!$M:$M,"LCL",Raw_Data!$L:$L,"IMPO",Raw_Data!$D:$D,X$1)</f>
        <v>15.822999999999999</v>
      </c>
      <c r="Y5" s="13">
        <f>SUMIFS(Raw_Data!$J:$J,Raw_Data!$C:$C,$K5,Raw_Data!$K:$K,2026,Raw_Data!$M:$M,"LCL",Raw_Data!$L:$L,"IMPO",Raw_Data!$D:$D,Y$1)</f>
        <v>24.959</v>
      </c>
      <c r="Z5" s="13">
        <f>SUMIFS(Raw_Data!$J:$J,Raw_Data!$C:$C,$K5,Raw_Data!$K:$K,2026,Raw_Data!$M:$M,"LCL",Raw_Data!$L:$L,"IMPO",Raw_Data!$D:$D,Z$1)</f>
        <v>66.132000000000005</v>
      </c>
      <c r="AA5" s="13">
        <f>SUMIFS(Raw_Data!$J:$J,Raw_Data!$C:$C,$K5,Raw_Data!$K:$K,2026,Raw_Data!$M:$M,"LCL",Raw_Data!$L:$L,"IMPO",Raw_Data!$D:$D,AA$1)</f>
        <v>43.374000000000009</v>
      </c>
      <c r="AB5" s="13">
        <f>SUMIFS(Raw_Data!$J:$J,Raw_Data!$C:$C,$K5,Raw_Data!$K:$K,2026,Raw_Data!$M:$M,"LCL",Raw_Data!$L:$L,"IMPO",Raw_Data!$D:$D,AB$1)</f>
        <v>652.09799999999984</v>
      </c>
      <c r="AC5" s="13">
        <f>SUMIFS(Raw_Data!$J:$J,Raw_Data!$C:$C,$K5,Raw_Data!$K:$K,2026,Raw_Data!$M:$M,"LCL",Raw_Data!$L:$L,"IMPO",Raw_Data!$D:$D,AC$1)</f>
        <v>0</v>
      </c>
    </row>
    <row r="6" spans="1:29" x14ac:dyDescent="0.25">
      <c r="A6" s="13">
        <v>18</v>
      </c>
      <c r="B6" s="14">
        <f>SUMIFS(Raw_Data!$G:$G,Raw_Data!$C:$C,$A6,Raw_Data!$K:$K,B$2,Raw_Data!$M:$M,"LCL",Raw_Data!$L:$L,"IMPO")</f>
        <v>0</v>
      </c>
      <c r="C6" s="13">
        <f>SUMIFS(Raw_Data!$G:$G,Raw_Data!$C:$C,$A6,Raw_Data!$K:$K,C$2,Raw_Data!$M:$M,"LCL",Raw_Data!$L:$L,"IMPO")</f>
        <v>327</v>
      </c>
      <c r="F6" s="13">
        <v>18</v>
      </c>
      <c r="G6">
        <f>SUMIFS(Raw_Data!$G:$G,Raw_Data!$C:$C,$F6,Raw_Data!$K:$K,G$2,Raw_Data!$M:$M,"LCL",Raw_Data!$L:$L,"EXPO")</f>
        <v>0</v>
      </c>
      <c r="H6">
        <f>SUMIFS(Raw_Data!$G:$G,Raw_Data!$C:$C,$F6,Raw_Data!$K:$K,H$2,Raw_Data!$M:$M,"LCL",Raw_Data!$L:$L,"EXPO")</f>
        <v>92</v>
      </c>
      <c r="K6" s="13">
        <v>19</v>
      </c>
      <c r="L6" s="13">
        <f>SUMIFS(Raw_Data!$G:$G,Raw_Data!$C:$C,$K6,Raw_Data!$K:$K,2026,Raw_Data!$M:$M,"LCL",Raw_Data!$L:$L,"IMPO",Raw_Data!$D:$D,L$1)</f>
        <v>79</v>
      </c>
      <c r="M6" s="13">
        <f>SUMIFS(Raw_Data!$G:$G,Raw_Data!$C:$C,$K6,Raw_Data!$K:$K,2026,Raw_Data!$M:$M,"LCL",Raw_Data!$L:$L,"IMPO",Raw_Data!$D:$D,M$1)</f>
        <v>13</v>
      </c>
      <c r="N6" s="13">
        <f>SUMIFS(Raw_Data!$G:$G,Raw_Data!$C:$C,$K6,Raw_Data!$K:$K,2026,Raw_Data!$M:$M,"LCL",Raw_Data!$L:$L,"IMPO",Raw_Data!$D:$D,N$1)</f>
        <v>0</v>
      </c>
      <c r="O6" s="13">
        <f>SUMIFS(Raw_Data!$G:$G,Raw_Data!$C:$C,$K6,Raw_Data!$K:$K,2026,Raw_Data!$M:$M,"LCL",Raw_Data!$L:$L,"IMPO",Raw_Data!$D:$D,O$1)</f>
        <v>2</v>
      </c>
      <c r="P6" s="13">
        <f>SUMIFS(Raw_Data!$G:$G,Raw_Data!$C:$C,$K6,Raw_Data!$K:$K,2026,Raw_Data!$M:$M,"LCL",Raw_Data!$L:$L,"IMPO",Raw_Data!$D:$D,P$1)</f>
        <v>8</v>
      </c>
      <c r="Q6" s="13">
        <f>SUMIFS(Raw_Data!$G:$G,Raw_Data!$C:$C,$K6,Raw_Data!$K:$K,2026,Raw_Data!$M:$M,"LCL",Raw_Data!$L:$L,"IMPO",Raw_Data!$D:$D,Q$1)</f>
        <v>8</v>
      </c>
      <c r="R6" s="13">
        <f>SUMIFS(Raw_Data!$G:$G,Raw_Data!$C:$C,$K6,Raw_Data!$K:$K,2026,Raw_Data!$M:$M,"LCL",Raw_Data!$L:$L,"IMPO",Raw_Data!$D:$D,R$1)</f>
        <v>107</v>
      </c>
      <c r="S6" s="13">
        <f>SUMIFS(Raw_Data!$G:$G,Raw_Data!$C:$C,$K6,Raw_Data!$K:$K,2026,Raw_Data!$M:$M,"LCL",Raw_Data!$L:$L,"IMPO",Raw_Data!$D:$D,S$1)</f>
        <v>0</v>
      </c>
      <c r="U6" s="13">
        <v>19</v>
      </c>
      <c r="V6" s="13">
        <f>SUMIFS(Raw_Data!$J:$J,Raw_Data!$C:$C,$K6,Raw_Data!$K:$K,2026,Raw_Data!$M:$M,"LCL",Raw_Data!$L:$L,"IMPO",Raw_Data!$D:$D,V$1)</f>
        <v>326.49499999999989</v>
      </c>
      <c r="W6" s="13">
        <f>SUMIFS(Raw_Data!$J:$J,Raw_Data!$C:$C,$K6,Raw_Data!$K:$K,2026,Raw_Data!$M:$M,"LCL",Raw_Data!$L:$L,"IMPO",Raw_Data!$D:$D,W$1)</f>
        <v>49.116</v>
      </c>
      <c r="X6" s="13">
        <f>SUMIFS(Raw_Data!$J:$J,Raw_Data!$C:$C,$K6,Raw_Data!$K:$K,2026,Raw_Data!$M:$M,"LCL",Raw_Data!$L:$L,"IMPO",Raw_Data!$D:$D,X$1)</f>
        <v>0</v>
      </c>
      <c r="Y6" s="13">
        <f>SUMIFS(Raw_Data!$J:$J,Raw_Data!$C:$C,$K6,Raw_Data!$K:$K,2026,Raw_Data!$M:$M,"LCL",Raw_Data!$L:$L,"IMPO",Raw_Data!$D:$D,Y$1)</f>
        <v>3.4020000000000001</v>
      </c>
      <c r="Z6" s="13">
        <f>SUMIFS(Raw_Data!$J:$J,Raw_Data!$C:$C,$K6,Raw_Data!$K:$K,2026,Raw_Data!$M:$M,"LCL",Raw_Data!$L:$L,"IMPO",Raw_Data!$D:$D,Z$1)</f>
        <v>46.247</v>
      </c>
      <c r="AA6" s="13">
        <f>SUMIFS(Raw_Data!$J:$J,Raw_Data!$C:$C,$K6,Raw_Data!$K:$K,2026,Raw_Data!$M:$M,"LCL",Raw_Data!$L:$L,"IMPO",Raw_Data!$D:$D,AA$1)</f>
        <v>18.189</v>
      </c>
      <c r="AB6" s="13">
        <f>SUMIFS(Raw_Data!$J:$J,Raw_Data!$C:$C,$K6,Raw_Data!$K:$K,2026,Raw_Data!$M:$M,"LCL",Raw_Data!$L:$L,"IMPO",Raw_Data!$D:$D,AB$1)</f>
        <v>424.58</v>
      </c>
      <c r="AC6" s="13">
        <f>SUMIFS(Raw_Data!$J:$J,Raw_Data!$C:$C,$K6,Raw_Data!$K:$K,2026,Raw_Data!$M:$M,"LCL",Raw_Data!$L:$L,"IMPO",Raw_Data!$D:$D,AC$1)</f>
        <v>0</v>
      </c>
    </row>
    <row r="7" spans="1:29" x14ac:dyDescent="0.25">
      <c r="A7" s="13">
        <v>19</v>
      </c>
      <c r="B7" s="14">
        <f>SUMIFS(Raw_Data!$G:$G,Raw_Data!$C:$C,$A7,Raw_Data!$K:$K,B$2,Raw_Data!$M:$M,"LCL",Raw_Data!$L:$L,"IMPO")</f>
        <v>0</v>
      </c>
      <c r="C7" s="13">
        <f>SUMIFS(Raw_Data!$G:$G,Raw_Data!$C:$C,$A7,Raw_Data!$K:$K,C$2,Raw_Data!$M:$M,"LCL",Raw_Data!$L:$L,"IMPO")</f>
        <v>217</v>
      </c>
      <c r="F7" s="13">
        <v>19</v>
      </c>
      <c r="G7">
        <f>SUMIFS(Raw_Data!$G:$G,Raw_Data!$C:$C,$F7,Raw_Data!$K:$K,G$2,Raw_Data!$M:$M,"LCL",Raw_Data!$L:$L,"EXPO")</f>
        <v>0</v>
      </c>
      <c r="H7">
        <f>SUMIFS(Raw_Data!$G:$G,Raw_Data!$C:$C,$F7,Raw_Data!$K:$K,H$2,Raw_Data!$M:$M,"LCL",Raw_Data!$L:$L,"EXPO")</f>
        <v>84</v>
      </c>
      <c r="K7" s="13">
        <v>20</v>
      </c>
      <c r="L7" s="13">
        <f>SUMIFS(Raw_Data!$G:$G,Raw_Data!$C:$C,$K7,Raw_Data!$K:$K,2026,Raw_Data!$M:$M,"LCL",Raw_Data!$L:$L,"IMPO",Raw_Data!$D:$D,L$1)</f>
        <v>50</v>
      </c>
      <c r="M7" s="13">
        <f>SUMIFS(Raw_Data!$G:$G,Raw_Data!$C:$C,$K7,Raw_Data!$K:$K,2026,Raw_Data!$M:$M,"LCL",Raw_Data!$L:$L,"IMPO",Raw_Data!$D:$D,M$1)</f>
        <v>11</v>
      </c>
      <c r="N7" s="13">
        <f>SUMIFS(Raw_Data!$G:$G,Raw_Data!$C:$C,$K7,Raw_Data!$K:$K,2026,Raw_Data!$M:$M,"LCL",Raw_Data!$L:$L,"IMPO",Raw_Data!$D:$D,N$1)</f>
        <v>4</v>
      </c>
      <c r="O7" s="13">
        <f>SUMIFS(Raw_Data!$G:$G,Raw_Data!$C:$C,$K7,Raw_Data!$K:$K,2026,Raw_Data!$M:$M,"LCL",Raw_Data!$L:$L,"IMPO",Raw_Data!$D:$D,O$1)</f>
        <v>1</v>
      </c>
      <c r="P7" s="13">
        <f>SUMIFS(Raw_Data!$G:$G,Raw_Data!$C:$C,$K7,Raw_Data!$K:$K,2026,Raw_Data!$M:$M,"LCL",Raw_Data!$L:$L,"IMPO",Raw_Data!$D:$D,P$1)</f>
        <v>3</v>
      </c>
      <c r="Q7" s="13">
        <f>SUMIFS(Raw_Data!$G:$G,Raw_Data!$C:$C,$K7,Raw_Data!$K:$K,2026,Raw_Data!$M:$M,"LCL",Raw_Data!$L:$L,"IMPO",Raw_Data!$D:$D,Q$1)</f>
        <v>12</v>
      </c>
      <c r="R7" s="13">
        <f>SUMIFS(Raw_Data!$G:$G,Raw_Data!$C:$C,$K7,Raw_Data!$K:$K,2026,Raw_Data!$M:$M,"LCL",Raw_Data!$L:$L,"IMPO",Raw_Data!$D:$D,R$1)</f>
        <v>66</v>
      </c>
      <c r="S7" s="13">
        <f>SUMIFS(Raw_Data!$G:$G,Raw_Data!$C:$C,$K7,Raw_Data!$K:$K,2026,Raw_Data!$M:$M,"LCL",Raw_Data!$L:$L,"IMPO",Raw_Data!$D:$D,S$1)</f>
        <v>0</v>
      </c>
      <c r="U7" s="13">
        <v>20</v>
      </c>
      <c r="V7" s="13">
        <f>SUMIFS(Raw_Data!$J:$J,Raw_Data!$C:$C,$K7,Raw_Data!$K:$K,2026,Raw_Data!$M:$M,"LCL",Raw_Data!$L:$L,"IMPO",Raw_Data!$D:$D,V$1)</f>
        <v>234.06000000000006</v>
      </c>
      <c r="W7" s="13">
        <f>SUMIFS(Raw_Data!$J:$J,Raw_Data!$C:$C,$K7,Raw_Data!$K:$K,2026,Raw_Data!$M:$M,"LCL",Raw_Data!$L:$L,"IMPO",Raw_Data!$D:$D,W$1)</f>
        <v>54.914000000000001</v>
      </c>
      <c r="X7" s="13">
        <f>SUMIFS(Raw_Data!$J:$J,Raw_Data!$C:$C,$K7,Raw_Data!$K:$K,2026,Raw_Data!$M:$M,"LCL",Raw_Data!$L:$L,"IMPO",Raw_Data!$D:$D,X$1)</f>
        <v>14.365</v>
      </c>
      <c r="Y7" s="13">
        <f>SUMIFS(Raw_Data!$J:$J,Raw_Data!$C:$C,$K7,Raw_Data!$K:$K,2026,Raw_Data!$M:$M,"LCL",Raw_Data!$L:$L,"IMPO",Raw_Data!$D:$D,Y$1)</f>
        <v>1.3080000000000001</v>
      </c>
      <c r="Z7" s="13">
        <f>SUMIFS(Raw_Data!$J:$J,Raw_Data!$C:$C,$K7,Raw_Data!$K:$K,2026,Raw_Data!$M:$M,"LCL",Raw_Data!$L:$L,"IMPO",Raw_Data!$D:$D,Z$1)</f>
        <v>1.373</v>
      </c>
      <c r="AA7" s="13">
        <f>SUMIFS(Raw_Data!$J:$J,Raw_Data!$C:$C,$K7,Raw_Data!$K:$K,2026,Raw_Data!$M:$M,"LCL",Raw_Data!$L:$L,"IMPO",Raw_Data!$D:$D,AA$1)</f>
        <v>19.020999999999997</v>
      </c>
      <c r="AB7" s="13">
        <f>SUMIFS(Raw_Data!$J:$J,Raw_Data!$C:$C,$K7,Raw_Data!$K:$K,2026,Raw_Data!$M:$M,"LCL",Raw_Data!$L:$L,"IMPO",Raw_Data!$D:$D,AB$1)</f>
        <v>299.16700000000003</v>
      </c>
      <c r="AC7" s="13">
        <f>SUMIFS(Raw_Data!$J:$J,Raw_Data!$C:$C,$K7,Raw_Data!$K:$K,2026,Raw_Data!$M:$M,"LCL",Raw_Data!$L:$L,"IMPO",Raw_Data!$D:$D,AC$1)</f>
        <v>0</v>
      </c>
    </row>
    <row r="8" spans="1:29" x14ac:dyDescent="0.25">
      <c r="A8" s="13">
        <v>20</v>
      </c>
      <c r="B8" s="14">
        <f>SUMIFS(Raw_Data!$G:$G,Raw_Data!$C:$C,$A8,Raw_Data!$K:$K,B$2,Raw_Data!$M:$M,"LCL",Raw_Data!$L:$L,"IMPO")</f>
        <v>0</v>
      </c>
      <c r="C8" s="13">
        <f>SUMIFS(Raw_Data!$G:$G,Raw_Data!$C:$C,$A8,Raw_Data!$K:$K,C$2,Raw_Data!$M:$M,"LCL",Raw_Data!$L:$L,"IMPO")</f>
        <v>149</v>
      </c>
      <c r="F8" s="13">
        <v>20</v>
      </c>
      <c r="G8">
        <f>SUMIFS(Raw_Data!$G:$G,Raw_Data!$C:$C,$F8,Raw_Data!$K:$K,G$2,Raw_Data!$M:$M,"LCL",Raw_Data!$L:$L,"EXPO")</f>
        <v>0</v>
      </c>
      <c r="H8">
        <f>SUMIFS(Raw_Data!$G:$G,Raw_Data!$C:$C,$F8,Raw_Data!$K:$K,H$2,Raw_Data!$M:$M,"LCL",Raw_Data!$L:$L,"EXPO")</f>
        <v>113</v>
      </c>
      <c r="K8" s="13">
        <v>21</v>
      </c>
      <c r="L8" s="13">
        <f>SUMIFS(Raw_Data!$G:$G,Raw_Data!$C:$C,$K8,Raw_Data!$K:$K,2026,Raw_Data!$M:$M,"LCL",Raw_Data!$L:$L,"IMPO",Raw_Data!$D:$D,L$1)</f>
        <v>0</v>
      </c>
      <c r="M8" s="13">
        <f>SUMIFS(Raw_Data!$G:$G,Raw_Data!$C:$C,$K8,Raw_Data!$K:$K,2026,Raw_Data!$M:$M,"LCL",Raw_Data!$L:$L,"IMPO",Raw_Data!$D:$D,M$1)</f>
        <v>0</v>
      </c>
      <c r="N8" s="13">
        <f>SUMIFS(Raw_Data!$G:$G,Raw_Data!$C:$C,$K8,Raw_Data!$K:$K,2026,Raw_Data!$M:$M,"LCL",Raw_Data!$L:$L,"IMPO",Raw_Data!$D:$D,N$1)</f>
        <v>0</v>
      </c>
      <c r="O8" s="13">
        <f>SUMIFS(Raw_Data!$G:$G,Raw_Data!$C:$C,$K8,Raw_Data!$K:$K,2026,Raw_Data!$M:$M,"LCL",Raw_Data!$L:$L,"IMPO",Raw_Data!$D:$D,O$1)</f>
        <v>0</v>
      </c>
      <c r="P8" s="13">
        <f>SUMIFS(Raw_Data!$G:$G,Raw_Data!$C:$C,$K8,Raw_Data!$K:$K,2026,Raw_Data!$M:$M,"LCL",Raw_Data!$L:$L,"IMPO",Raw_Data!$D:$D,P$1)</f>
        <v>0</v>
      </c>
      <c r="Q8" s="13">
        <f>SUMIFS(Raw_Data!$G:$G,Raw_Data!$C:$C,$K8,Raw_Data!$K:$K,2026,Raw_Data!$M:$M,"LCL",Raw_Data!$L:$L,"IMPO",Raw_Data!$D:$D,Q$1)</f>
        <v>0</v>
      </c>
      <c r="R8" s="13">
        <f>SUMIFS(Raw_Data!$G:$G,Raw_Data!$C:$C,$K8,Raw_Data!$K:$K,2026,Raw_Data!$M:$M,"LCL",Raw_Data!$L:$L,"IMPO",Raw_Data!$D:$D,R$1)</f>
        <v>0</v>
      </c>
      <c r="S8" s="13">
        <f>SUMIFS(Raw_Data!$G:$G,Raw_Data!$C:$C,$K8,Raw_Data!$K:$K,2026,Raw_Data!$M:$M,"LCL",Raw_Data!$L:$L,"IMPO",Raw_Data!$D:$D,S$1)</f>
        <v>0</v>
      </c>
      <c r="U8" s="13">
        <v>21</v>
      </c>
      <c r="V8" s="13">
        <f>SUMIFS(Raw_Data!$J:$J,Raw_Data!$C:$C,$K8,Raw_Data!$K:$K,2026,Raw_Data!$M:$M,"LCL",Raw_Data!$L:$L,"IMPO",Raw_Data!$D:$D,V$1)</f>
        <v>0</v>
      </c>
      <c r="W8" s="13">
        <f>SUMIFS(Raw_Data!$J:$J,Raw_Data!$C:$C,$K8,Raw_Data!$K:$K,2026,Raw_Data!$M:$M,"LCL",Raw_Data!$L:$L,"IMPO",Raw_Data!$D:$D,W$1)</f>
        <v>0</v>
      </c>
      <c r="X8" s="13">
        <f>SUMIFS(Raw_Data!$J:$J,Raw_Data!$C:$C,$K8,Raw_Data!$K:$K,2026,Raw_Data!$M:$M,"LCL",Raw_Data!$L:$L,"IMPO",Raw_Data!$D:$D,X$1)</f>
        <v>0</v>
      </c>
      <c r="Y8" s="13">
        <f>SUMIFS(Raw_Data!$J:$J,Raw_Data!$C:$C,$K8,Raw_Data!$K:$K,2026,Raw_Data!$M:$M,"LCL",Raw_Data!$L:$L,"IMPO",Raw_Data!$D:$D,Y$1)</f>
        <v>0</v>
      </c>
      <c r="Z8" s="13">
        <f>SUMIFS(Raw_Data!$J:$J,Raw_Data!$C:$C,$K8,Raw_Data!$K:$K,2026,Raw_Data!$M:$M,"LCL",Raw_Data!$L:$L,"IMPO",Raw_Data!$D:$D,Z$1)</f>
        <v>0</v>
      </c>
      <c r="AA8" s="13">
        <f>SUMIFS(Raw_Data!$J:$J,Raw_Data!$C:$C,$K8,Raw_Data!$K:$K,2026,Raw_Data!$M:$M,"LCL",Raw_Data!$L:$L,"IMPO",Raw_Data!$D:$D,AA$1)</f>
        <v>0</v>
      </c>
      <c r="AB8" s="13">
        <f>SUMIFS(Raw_Data!$J:$J,Raw_Data!$C:$C,$K8,Raw_Data!$K:$K,2026,Raw_Data!$M:$M,"LCL",Raw_Data!$L:$L,"IMPO",Raw_Data!$D:$D,AB$1)</f>
        <v>0</v>
      </c>
      <c r="AC8" s="13">
        <f>SUMIFS(Raw_Data!$J:$J,Raw_Data!$C:$C,$K8,Raw_Data!$K:$K,2026,Raw_Data!$M:$M,"LCL",Raw_Data!$L:$L,"IMPO",Raw_Data!$D:$D,AC$1)</f>
        <v>0</v>
      </c>
    </row>
    <row r="9" spans="1:29" x14ac:dyDescent="0.25">
      <c r="A9" s="13">
        <v>21</v>
      </c>
      <c r="B9" s="14">
        <f>SUMIFS(Raw_Data!$G:$G,Raw_Data!$C:$C,$A9,Raw_Data!$K:$K,B$2,Raw_Data!$M:$M,"LCL",Raw_Data!$L:$L,"IMPO")</f>
        <v>0</v>
      </c>
      <c r="C9" s="13">
        <f>SUMIFS(Raw_Data!$G:$G,Raw_Data!$C:$C,$A9,Raw_Data!$K:$K,C$2,Raw_Data!$M:$M,"LCL",Raw_Data!$L:$L,"IMPO")</f>
        <v>0</v>
      </c>
      <c r="F9" s="13">
        <v>21</v>
      </c>
      <c r="G9">
        <f>SUMIFS(Raw_Data!$G:$G,Raw_Data!$C:$C,$F9,Raw_Data!$K:$K,G$2,Raw_Data!$M:$M,"LCL",Raw_Data!$L:$L,"EXPO")</f>
        <v>0</v>
      </c>
      <c r="H9">
        <f>SUMIFS(Raw_Data!$G:$G,Raw_Data!$C:$C,$F9,Raw_Data!$K:$K,H$2,Raw_Data!$M:$M,"LCL",Raw_Data!$L:$L,"EXPO")</f>
        <v>0</v>
      </c>
      <c r="K9" s="13">
        <v>22</v>
      </c>
      <c r="L9" s="13">
        <f>SUMIFS(Raw_Data!$G:$G,Raw_Data!$C:$C,$K9,Raw_Data!$K:$K,2026,Raw_Data!$M:$M,"LCL",Raw_Data!$L:$L,"IMPO",Raw_Data!$D:$D,L$1)</f>
        <v>0</v>
      </c>
      <c r="M9" s="13">
        <f>SUMIFS(Raw_Data!$G:$G,Raw_Data!$C:$C,$K9,Raw_Data!$K:$K,2026,Raw_Data!$M:$M,"LCL",Raw_Data!$L:$L,"IMPO",Raw_Data!$D:$D,M$1)</f>
        <v>0</v>
      </c>
      <c r="N9" s="13">
        <f>SUMIFS(Raw_Data!$G:$G,Raw_Data!$C:$C,$K9,Raw_Data!$K:$K,2026,Raw_Data!$M:$M,"LCL",Raw_Data!$L:$L,"IMPO",Raw_Data!$D:$D,N$1)</f>
        <v>0</v>
      </c>
      <c r="O9" s="13">
        <f>SUMIFS(Raw_Data!$G:$G,Raw_Data!$C:$C,$K9,Raw_Data!$K:$K,2026,Raw_Data!$M:$M,"LCL",Raw_Data!$L:$L,"IMPO",Raw_Data!$D:$D,O$1)</f>
        <v>0</v>
      </c>
      <c r="P9" s="13">
        <f>SUMIFS(Raw_Data!$G:$G,Raw_Data!$C:$C,$K9,Raw_Data!$K:$K,2026,Raw_Data!$M:$M,"LCL",Raw_Data!$L:$L,"IMPO",Raw_Data!$D:$D,P$1)</f>
        <v>0</v>
      </c>
      <c r="Q9" s="13">
        <f>SUMIFS(Raw_Data!$G:$G,Raw_Data!$C:$C,$K9,Raw_Data!$K:$K,2026,Raw_Data!$M:$M,"LCL",Raw_Data!$L:$L,"IMPO",Raw_Data!$D:$D,Q$1)</f>
        <v>0</v>
      </c>
      <c r="R9" s="13">
        <f>SUMIFS(Raw_Data!$G:$G,Raw_Data!$C:$C,$K9,Raw_Data!$K:$K,2026,Raw_Data!$M:$M,"LCL",Raw_Data!$L:$L,"IMPO",Raw_Data!$D:$D,R$1)</f>
        <v>0</v>
      </c>
      <c r="S9" s="13">
        <f>SUMIFS(Raw_Data!$G:$G,Raw_Data!$C:$C,$K9,Raw_Data!$K:$K,2026,Raw_Data!$M:$M,"LCL",Raw_Data!$L:$L,"IMPO",Raw_Data!$D:$D,S$1)</f>
        <v>0</v>
      </c>
      <c r="U9" s="13">
        <v>22</v>
      </c>
      <c r="V9" s="13">
        <f>SUMIFS(Raw_Data!$J:$J,Raw_Data!$C:$C,$K9,Raw_Data!$K:$K,2026,Raw_Data!$M:$M,"LCL",Raw_Data!$L:$L,"IMPO",Raw_Data!$D:$D,V$1)</f>
        <v>0</v>
      </c>
      <c r="W9" s="13">
        <f>SUMIFS(Raw_Data!$J:$J,Raw_Data!$C:$C,$K9,Raw_Data!$K:$K,2026,Raw_Data!$M:$M,"LCL",Raw_Data!$L:$L,"IMPO",Raw_Data!$D:$D,W$1)</f>
        <v>0</v>
      </c>
      <c r="X9" s="13">
        <f>SUMIFS(Raw_Data!$J:$J,Raw_Data!$C:$C,$K9,Raw_Data!$K:$K,2026,Raw_Data!$M:$M,"LCL",Raw_Data!$L:$L,"IMPO",Raw_Data!$D:$D,X$1)</f>
        <v>0</v>
      </c>
      <c r="Y9" s="13">
        <f>SUMIFS(Raw_Data!$J:$J,Raw_Data!$C:$C,$K9,Raw_Data!$K:$K,2026,Raw_Data!$M:$M,"LCL",Raw_Data!$L:$L,"IMPO",Raw_Data!$D:$D,Y$1)</f>
        <v>0</v>
      </c>
      <c r="Z9" s="13">
        <f>SUMIFS(Raw_Data!$J:$J,Raw_Data!$C:$C,$K9,Raw_Data!$K:$K,2026,Raw_Data!$M:$M,"LCL",Raw_Data!$L:$L,"IMPO",Raw_Data!$D:$D,Z$1)</f>
        <v>0</v>
      </c>
      <c r="AA9" s="13">
        <f>SUMIFS(Raw_Data!$J:$J,Raw_Data!$C:$C,$K9,Raw_Data!$K:$K,2026,Raw_Data!$M:$M,"LCL",Raw_Data!$L:$L,"IMPO",Raw_Data!$D:$D,AA$1)</f>
        <v>0</v>
      </c>
      <c r="AB9" s="13">
        <f>SUMIFS(Raw_Data!$J:$J,Raw_Data!$C:$C,$K9,Raw_Data!$K:$K,2026,Raw_Data!$M:$M,"LCL",Raw_Data!$L:$L,"IMPO",Raw_Data!$D:$D,AB$1)</f>
        <v>0</v>
      </c>
      <c r="AC9" s="13">
        <f>SUMIFS(Raw_Data!$J:$J,Raw_Data!$C:$C,$K9,Raw_Data!$K:$K,2026,Raw_Data!$M:$M,"LCL",Raw_Data!$L:$L,"IMPO",Raw_Data!$D:$D,AC$1)</f>
        <v>0</v>
      </c>
    </row>
    <row r="10" spans="1:29" x14ac:dyDescent="0.25">
      <c r="A10" s="13">
        <v>22</v>
      </c>
      <c r="B10" s="14">
        <f>SUMIFS(Raw_Data!$G:$G,Raw_Data!$C:$C,$A10,Raw_Data!$K:$K,B$2,Raw_Data!$M:$M,"LCL",Raw_Data!$L:$L,"IMPO")</f>
        <v>0</v>
      </c>
      <c r="C10" s="13">
        <f>SUMIFS(Raw_Data!$G:$G,Raw_Data!$C:$C,$A10,Raw_Data!$K:$K,C$2,Raw_Data!$M:$M,"LCL",Raw_Data!$L:$L,"IMPO")</f>
        <v>0</v>
      </c>
      <c r="F10" s="13">
        <v>22</v>
      </c>
      <c r="G10">
        <f>SUMIFS(Raw_Data!$G:$G,Raw_Data!$C:$C,$F10,Raw_Data!$K:$K,G$2,Raw_Data!$M:$M,"LCL",Raw_Data!$L:$L,"EXPO")</f>
        <v>0</v>
      </c>
      <c r="H10">
        <f>SUMIFS(Raw_Data!$G:$G,Raw_Data!$C:$C,$F10,Raw_Data!$K:$K,H$2,Raw_Data!$M:$M,"LCL",Raw_Data!$L:$L,"EXPO")</f>
        <v>0</v>
      </c>
      <c r="K10" s="13">
        <v>23</v>
      </c>
      <c r="L10" s="13">
        <f>SUMIFS(Raw_Data!$G:$G,Raw_Data!$C:$C,$K10,Raw_Data!$K:$K,2026,Raw_Data!$M:$M,"LCL",Raw_Data!$L:$L,"IMPO",Raw_Data!$D:$D,L$1)</f>
        <v>0</v>
      </c>
      <c r="M10" s="13">
        <f>SUMIFS(Raw_Data!$G:$G,Raw_Data!$C:$C,$K10,Raw_Data!$K:$K,2026,Raw_Data!$M:$M,"LCL",Raw_Data!$L:$L,"IMPO",Raw_Data!$D:$D,M$1)</f>
        <v>0</v>
      </c>
      <c r="N10" s="13">
        <f>SUMIFS(Raw_Data!$G:$G,Raw_Data!$C:$C,$K10,Raw_Data!$K:$K,2026,Raw_Data!$M:$M,"LCL",Raw_Data!$L:$L,"IMPO",Raw_Data!$D:$D,N$1)</f>
        <v>0</v>
      </c>
      <c r="O10" s="13">
        <f>SUMIFS(Raw_Data!$G:$G,Raw_Data!$C:$C,$K10,Raw_Data!$K:$K,2026,Raw_Data!$M:$M,"LCL",Raw_Data!$L:$L,"IMPO",Raw_Data!$D:$D,O$1)</f>
        <v>0</v>
      </c>
      <c r="P10" s="13">
        <f>SUMIFS(Raw_Data!$G:$G,Raw_Data!$C:$C,$K10,Raw_Data!$K:$K,2026,Raw_Data!$M:$M,"LCL",Raw_Data!$L:$L,"IMPO",Raw_Data!$D:$D,P$1)</f>
        <v>0</v>
      </c>
      <c r="Q10" s="13">
        <f>SUMIFS(Raw_Data!$G:$G,Raw_Data!$C:$C,$K10,Raw_Data!$K:$K,2026,Raw_Data!$M:$M,"LCL",Raw_Data!$L:$L,"IMPO",Raw_Data!$D:$D,Q$1)</f>
        <v>0</v>
      </c>
      <c r="R10" s="13">
        <f>SUMIFS(Raw_Data!$G:$G,Raw_Data!$C:$C,$K10,Raw_Data!$K:$K,2026,Raw_Data!$M:$M,"LCL",Raw_Data!$L:$L,"IMPO",Raw_Data!$D:$D,R$1)</f>
        <v>0</v>
      </c>
      <c r="S10" s="13">
        <f>SUMIFS(Raw_Data!$G:$G,Raw_Data!$C:$C,$K10,Raw_Data!$K:$K,2026,Raw_Data!$M:$M,"LCL",Raw_Data!$L:$L,"IMPO",Raw_Data!$D:$D,S$1)</f>
        <v>0</v>
      </c>
      <c r="U10" s="13">
        <v>23</v>
      </c>
      <c r="V10" s="13">
        <f>SUMIFS(Raw_Data!$J:$J,Raw_Data!$C:$C,$K10,Raw_Data!$K:$K,2026,Raw_Data!$M:$M,"LCL",Raw_Data!$L:$L,"IMPO",Raw_Data!$D:$D,V$1)</f>
        <v>0</v>
      </c>
      <c r="W10" s="13">
        <f>SUMIFS(Raw_Data!$J:$J,Raw_Data!$C:$C,$K10,Raw_Data!$K:$K,2026,Raw_Data!$M:$M,"LCL",Raw_Data!$L:$L,"IMPO",Raw_Data!$D:$D,W$1)</f>
        <v>0</v>
      </c>
      <c r="X10" s="13">
        <f>SUMIFS(Raw_Data!$J:$J,Raw_Data!$C:$C,$K10,Raw_Data!$K:$K,2026,Raw_Data!$M:$M,"LCL",Raw_Data!$L:$L,"IMPO",Raw_Data!$D:$D,X$1)</f>
        <v>0</v>
      </c>
      <c r="Y10" s="13">
        <f>SUMIFS(Raw_Data!$J:$J,Raw_Data!$C:$C,$K10,Raw_Data!$K:$K,2026,Raw_Data!$M:$M,"LCL",Raw_Data!$L:$L,"IMPO",Raw_Data!$D:$D,Y$1)</f>
        <v>0</v>
      </c>
      <c r="Z10" s="13">
        <f>SUMIFS(Raw_Data!$J:$J,Raw_Data!$C:$C,$K10,Raw_Data!$K:$K,2026,Raw_Data!$M:$M,"LCL",Raw_Data!$L:$L,"IMPO",Raw_Data!$D:$D,Z$1)</f>
        <v>0</v>
      </c>
      <c r="AA10" s="13">
        <f>SUMIFS(Raw_Data!$J:$J,Raw_Data!$C:$C,$K10,Raw_Data!$K:$K,2026,Raw_Data!$M:$M,"LCL",Raw_Data!$L:$L,"IMPO",Raw_Data!$D:$D,AA$1)</f>
        <v>0</v>
      </c>
      <c r="AB10" s="13">
        <f>SUMIFS(Raw_Data!$J:$J,Raw_Data!$C:$C,$K10,Raw_Data!$K:$K,2026,Raw_Data!$M:$M,"LCL",Raw_Data!$L:$L,"IMPO",Raw_Data!$D:$D,AB$1)</f>
        <v>0</v>
      </c>
      <c r="AC10" s="13">
        <f>SUMIFS(Raw_Data!$J:$J,Raw_Data!$C:$C,$K10,Raw_Data!$K:$K,2026,Raw_Data!$M:$M,"LCL",Raw_Data!$L:$L,"IMPO",Raw_Data!$D:$D,AC$1)</f>
        <v>0</v>
      </c>
    </row>
    <row r="11" spans="1:29" x14ac:dyDescent="0.25">
      <c r="A11" s="13">
        <v>23</v>
      </c>
      <c r="B11" s="14">
        <f>SUMIFS(Raw_Data!$G:$G,Raw_Data!$C:$C,$A11,Raw_Data!$K:$K,B$2,Raw_Data!$M:$M,"LCL",Raw_Data!$L:$L,"IMPO")</f>
        <v>0</v>
      </c>
      <c r="C11" s="13">
        <f>SUMIFS(Raw_Data!$G:$G,Raw_Data!$C:$C,$A11,Raw_Data!$K:$K,C$2,Raw_Data!$M:$M,"LCL",Raw_Data!$L:$L,"IMPO")</f>
        <v>0</v>
      </c>
      <c r="F11" s="13">
        <v>23</v>
      </c>
      <c r="G11">
        <f>SUMIFS(Raw_Data!$G:$G,Raw_Data!$C:$C,$F11,Raw_Data!$K:$K,G$2,Raw_Data!$M:$M,"LCL",Raw_Data!$L:$L,"EXPO")</f>
        <v>0</v>
      </c>
      <c r="H11">
        <f>SUMIFS(Raw_Data!$G:$G,Raw_Data!$C:$C,$F11,Raw_Data!$K:$K,H$2,Raw_Data!$M:$M,"LCL",Raw_Data!$L:$L,"EXPO")</f>
        <v>0</v>
      </c>
      <c r="K11" s="13">
        <v>24</v>
      </c>
      <c r="L11" s="13">
        <f>SUMIFS(Raw_Data!$G:$G,Raw_Data!$C:$C,$K11,Raw_Data!$K:$K,2026,Raw_Data!$M:$M,"LCL",Raw_Data!$L:$L,"IMPO",Raw_Data!$D:$D,L$1)</f>
        <v>0</v>
      </c>
      <c r="M11" s="13">
        <f>SUMIFS(Raw_Data!$G:$G,Raw_Data!$C:$C,$K11,Raw_Data!$K:$K,2026,Raw_Data!$M:$M,"LCL",Raw_Data!$L:$L,"IMPO",Raw_Data!$D:$D,M$1)</f>
        <v>0</v>
      </c>
      <c r="N11" s="13">
        <f>SUMIFS(Raw_Data!$G:$G,Raw_Data!$C:$C,$K11,Raw_Data!$K:$K,2026,Raw_Data!$M:$M,"LCL",Raw_Data!$L:$L,"IMPO",Raw_Data!$D:$D,N$1)</f>
        <v>0</v>
      </c>
      <c r="O11" s="13">
        <f>SUMIFS(Raw_Data!$G:$G,Raw_Data!$C:$C,$K11,Raw_Data!$K:$K,2026,Raw_Data!$M:$M,"LCL",Raw_Data!$L:$L,"IMPO",Raw_Data!$D:$D,O$1)</f>
        <v>0</v>
      </c>
      <c r="P11" s="13">
        <f>SUMIFS(Raw_Data!$G:$G,Raw_Data!$C:$C,$K11,Raw_Data!$K:$K,2026,Raw_Data!$M:$M,"LCL",Raw_Data!$L:$L,"IMPO",Raw_Data!$D:$D,P$1)</f>
        <v>0</v>
      </c>
      <c r="Q11" s="13">
        <f>SUMIFS(Raw_Data!$G:$G,Raw_Data!$C:$C,$K11,Raw_Data!$K:$K,2026,Raw_Data!$M:$M,"LCL",Raw_Data!$L:$L,"IMPO",Raw_Data!$D:$D,Q$1)</f>
        <v>0</v>
      </c>
      <c r="R11" s="13">
        <f>SUMIFS(Raw_Data!$G:$G,Raw_Data!$C:$C,$K11,Raw_Data!$K:$K,2026,Raw_Data!$M:$M,"LCL",Raw_Data!$L:$L,"IMPO",Raw_Data!$D:$D,R$1)</f>
        <v>0</v>
      </c>
      <c r="S11" s="13">
        <f>SUMIFS(Raw_Data!$G:$G,Raw_Data!$C:$C,$K11,Raw_Data!$K:$K,2026,Raw_Data!$M:$M,"LCL",Raw_Data!$L:$L,"IMPO",Raw_Data!$D:$D,S$1)</f>
        <v>0</v>
      </c>
      <c r="U11" s="13">
        <v>24</v>
      </c>
      <c r="V11" s="13">
        <f>SUMIFS(Raw_Data!$J:$J,Raw_Data!$C:$C,$K11,Raw_Data!$K:$K,2026,Raw_Data!$M:$M,"LCL",Raw_Data!$L:$L,"IMPO",Raw_Data!$D:$D,V$1)</f>
        <v>0</v>
      </c>
      <c r="W11" s="13">
        <f>SUMIFS(Raw_Data!$J:$J,Raw_Data!$C:$C,$K11,Raw_Data!$K:$K,2026,Raw_Data!$M:$M,"LCL",Raw_Data!$L:$L,"IMPO",Raw_Data!$D:$D,W$1)</f>
        <v>0</v>
      </c>
      <c r="X11" s="13">
        <f>SUMIFS(Raw_Data!$J:$J,Raw_Data!$C:$C,$K11,Raw_Data!$K:$K,2026,Raw_Data!$M:$M,"LCL",Raw_Data!$L:$L,"IMPO",Raw_Data!$D:$D,X$1)</f>
        <v>0</v>
      </c>
      <c r="Y11" s="13">
        <f>SUMIFS(Raw_Data!$J:$J,Raw_Data!$C:$C,$K11,Raw_Data!$K:$K,2026,Raw_Data!$M:$M,"LCL",Raw_Data!$L:$L,"IMPO",Raw_Data!$D:$D,Y$1)</f>
        <v>0</v>
      </c>
      <c r="Z11" s="13">
        <f>SUMIFS(Raw_Data!$J:$J,Raw_Data!$C:$C,$K11,Raw_Data!$K:$K,2026,Raw_Data!$M:$M,"LCL",Raw_Data!$L:$L,"IMPO",Raw_Data!$D:$D,Z$1)</f>
        <v>0</v>
      </c>
      <c r="AA11" s="13">
        <f>SUMIFS(Raw_Data!$J:$J,Raw_Data!$C:$C,$K11,Raw_Data!$K:$K,2026,Raw_Data!$M:$M,"LCL",Raw_Data!$L:$L,"IMPO",Raw_Data!$D:$D,AA$1)</f>
        <v>0</v>
      </c>
      <c r="AB11" s="13">
        <f>SUMIFS(Raw_Data!$J:$J,Raw_Data!$C:$C,$K11,Raw_Data!$K:$K,2026,Raw_Data!$M:$M,"LCL",Raw_Data!$L:$L,"IMPO",Raw_Data!$D:$D,AB$1)</f>
        <v>0</v>
      </c>
      <c r="AC11" s="13">
        <f>SUMIFS(Raw_Data!$J:$J,Raw_Data!$C:$C,$K11,Raw_Data!$K:$K,2026,Raw_Data!$M:$M,"LCL",Raw_Data!$L:$L,"IMPO",Raw_Data!$D:$D,AC$1)</f>
        <v>0</v>
      </c>
    </row>
    <row r="12" spans="1:29" x14ac:dyDescent="0.25">
      <c r="A12" s="13">
        <v>24</v>
      </c>
      <c r="B12" s="14">
        <f>SUMIFS(Raw_Data!$G:$G,Raw_Data!$C:$C,$A12,Raw_Data!$K:$K,B$2,Raw_Data!$M:$M,"LCL",Raw_Data!$L:$L,"IMPO")</f>
        <v>0</v>
      </c>
      <c r="C12" s="13">
        <f>SUMIFS(Raw_Data!$G:$G,Raw_Data!$C:$C,$A12,Raw_Data!$K:$K,C$2,Raw_Data!$M:$M,"LCL",Raw_Data!$L:$L,"IMPO")</f>
        <v>0</v>
      </c>
      <c r="F12" s="13">
        <v>24</v>
      </c>
      <c r="G12">
        <f>SUMIFS(Raw_Data!$G:$G,Raw_Data!$C:$C,$F12,Raw_Data!$K:$K,G$2,Raw_Data!$M:$M,"LCL",Raw_Data!$L:$L,"EXPO")</f>
        <v>0</v>
      </c>
      <c r="H12">
        <f>SUMIFS(Raw_Data!$G:$G,Raw_Data!$C:$C,$F12,Raw_Data!$K:$K,H$2,Raw_Data!$M:$M,"LCL",Raw_Data!$L:$L,"EXPO")</f>
        <v>0</v>
      </c>
    </row>
    <row r="14" spans="1:29" ht="16.149999999999999" customHeight="1" x14ac:dyDescent="0.25">
      <c r="A14" s="15" t="s">
        <v>77</v>
      </c>
      <c r="B14" s="15" t="s">
        <v>78</v>
      </c>
      <c r="C14" s="15" t="s">
        <v>79</v>
      </c>
      <c r="F14" s="15" t="s">
        <v>77</v>
      </c>
      <c r="G14" s="15" t="s">
        <v>78</v>
      </c>
      <c r="H14" s="15" t="s">
        <v>79</v>
      </c>
      <c r="K14" s="12" t="s">
        <v>77</v>
      </c>
      <c r="L14" s="12" t="s">
        <v>18</v>
      </c>
      <c r="M14" s="12" t="s">
        <v>19</v>
      </c>
      <c r="N14" s="12" t="s">
        <v>23</v>
      </c>
      <c r="O14" s="12" t="s">
        <v>24</v>
      </c>
      <c r="P14" s="12" t="s">
        <v>21</v>
      </c>
      <c r="Q14" s="12" t="s">
        <v>20</v>
      </c>
      <c r="R14" s="12" t="s">
        <v>13</v>
      </c>
      <c r="S14" s="12" t="s">
        <v>48</v>
      </c>
      <c r="U14" s="12" t="s">
        <v>77</v>
      </c>
      <c r="V14" s="12" t="s">
        <v>18</v>
      </c>
      <c r="W14" s="12" t="s">
        <v>19</v>
      </c>
      <c r="X14" s="12" t="s">
        <v>23</v>
      </c>
      <c r="Y14" s="12" t="s">
        <v>24</v>
      </c>
      <c r="Z14" s="12" t="s">
        <v>21</v>
      </c>
      <c r="AA14" s="12" t="s">
        <v>20</v>
      </c>
      <c r="AB14" s="12" t="s">
        <v>13</v>
      </c>
      <c r="AC14" s="12" t="s">
        <v>48</v>
      </c>
    </row>
    <row r="15" spans="1:29" x14ac:dyDescent="0.25">
      <c r="A15">
        <v>15</v>
      </c>
      <c r="B15" s="14">
        <f>SUMIFS(Raw_Data!$G:$G,Raw_Data!$C:$C,$A15,Raw_Data!$K:$K,2026,Raw_Data!$M:$M,"LCL",Raw_Data!$L:$L,"IMPO",Raw_Data!$F:$F,"COLOADER")</f>
        <v>98</v>
      </c>
      <c r="C15" s="14">
        <f>SUMIFS(Raw_Data!$G:$G,Raw_Data!$C:$C,$A15,Raw_Data!$K:$K,2026,Raw_Data!$M:$M,"LCL",Raw_Data!$L:$L,"IMPO",Raw_Data!$F:$F,"CONSOLIDADA")</f>
        <v>138</v>
      </c>
      <c r="F15">
        <v>15</v>
      </c>
      <c r="G15" s="14">
        <f>SUMIFS(Raw_Data!$G:$G,Raw_Data!$C:$C,$F15,Raw_Data!$K:$K,2026,Raw_Data!$M:$M,"LCL",Raw_Data!$L:$L,"EXPO",Raw_Data!$F:$F,"COLOADER")</f>
        <v>37</v>
      </c>
      <c r="H15" s="14">
        <f>SUMIFS(Raw_Data!$G:$G,Raw_Data!$C:$C,$F15,Raw_Data!$K:$K,2026,Raw_Data!$M:$M,"LCL",Raw_Data!$L:$L,"EXPO",Raw_Data!$F:$F,"CONSOLIDADA")</f>
        <v>40</v>
      </c>
      <c r="K15">
        <v>15</v>
      </c>
      <c r="L15" s="13">
        <f>SUMIFS(Raw_Data!$J:$J,Raw_Data!$C:$C,$K15,Raw_Data!$K:$K,2026,Raw_Data!$M:$M,"LCL",Raw_Data!$L:$L,"EXPO",Raw_Data!$D:$D,L$14)</f>
        <v>54.667999999999999</v>
      </c>
      <c r="M15" s="13">
        <f>SUMIFS(Raw_Data!$J:$J,Raw_Data!$C:$C,$K15,Raw_Data!$K:$K,2026,Raw_Data!$M:$M,"LCL",Raw_Data!$L:$L,"EXPO",Raw_Data!$D:$D,M$14)</f>
        <v>5.28</v>
      </c>
      <c r="N15" s="13">
        <f>SUMIFS(Raw_Data!$J:$J,Raw_Data!$C:$C,$K15,Raw_Data!$K:$K,2026,Raw_Data!$M:$M,"LCL",Raw_Data!$L:$L,"EXPO",Raw_Data!$D:$D,N$14)</f>
        <v>10.634</v>
      </c>
      <c r="O15" s="13">
        <f>SUMIFS(Raw_Data!$J:$J,Raw_Data!$C:$C,$K15,Raw_Data!$K:$K,2026,Raw_Data!$M:$M,"LCL",Raw_Data!$L:$L,"EXPO",Raw_Data!$D:$D,O$14)</f>
        <v>0</v>
      </c>
      <c r="P15" s="13">
        <f>SUMIFS(Raw_Data!$J:$J,Raw_Data!$C:$C,$K15,Raw_Data!$K:$K,2026,Raw_Data!$M:$M,"LCL",Raw_Data!$L:$L,"EXPO",Raw_Data!$D:$D,P$14)</f>
        <v>35.945</v>
      </c>
      <c r="Q15" s="13">
        <f>SUMIFS(Raw_Data!$J:$J,Raw_Data!$C:$C,$K15,Raw_Data!$K:$K,2026,Raw_Data!$M:$M,"LCL",Raw_Data!$L:$L,"EXPO",Raw_Data!$D:$D,Q$14)</f>
        <v>3.4660000000000002</v>
      </c>
      <c r="R15" s="13">
        <f>SUMIFS(Raw_Data!$J:$J,Raw_Data!$C:$C,$K15,Raw_Data!$K:$K,2026,Raw_Data!$M:$M,"LCL",Raw_Data!$L:$L,"EXPO",Raw_Data!$D:$D,R$14)</f>
        <v>95.243000000000023</v>
      </c>
      <c r="S15" s="13">
        <f>SUMIFS(Raw_Data!$J:$J,Raw_Data!$C:$C,$K15,Raw_Data!$K:$K,2026,Raw_Data!$M:$M,"LCL",Raw_Data!$L:$L,"EXPO",Raw_Data!$D:$D,S$14)</f>
        <v>0</v>
      </c>
      <c r="U15">
        <v>15</v>
      </c>
      <c r="V15" s="13">
        <f>SUMIFS(Raw_Data!$G:$G,Raw_Data!$C:$C,$U15,Raw_Data!$K:$K,2026,Raw_Data!$M:$M,"LCL",Raw_Data!$L:$L,"EXPO",Raw_Data!$D:$D,V$14)</f>
        <v>38</v>
      </c>
      <c r="W15" s="13">
        <f>SUMIFS(Raw_Data!$G:$G,Raw_Data!$C:$C,$U15,Raw_Data!$K:$K,2026,Raw_Data!$M:$M,"LCL",Raw_Data!$L:$L,"EXPO",Raw_Data!$D:$D,W$14)</f>
        <v>2</v>
      </c>
      <c r="X15" s="13">
        <f>SUMIFS(Raw_Data!$G:$G,Raw_Data!$C:$C,$U15,Raw_Data!$K:$K,2026,Raw_Data!$M:$M,"LCL",Raw_Data!$L:$L,"EXPO",Raw_Data!$D:$D,X$14)</f>
        <v>2</v>
      </c>
      <c r="Y15" s="13">
        <f>SUMIFS(Raw_Data!$G:$G,Raw_Data!$C:$C,$U15,Raw_Data!$K:$K,2026,Raw_Data!$M:$M,"LCL",Raw_Data!$L:$L,"EXPO",Raw_Data!$D:$D,Y$14)</f>
        <v>0</v>
      </c>
      <c r="Z15" s="13">
        <f>SUMIFS(Raw_Data!$G:$G,Raw_Data!$C:$C,$U15,Raw_Data!$K:$K,2026,Raw_Data!$M:$M,"LCL",Raw_Data!$L:$L,"EXPO",Raw_Data!$D:$D,Z$14)</f>
        <v>11</v>
      </c>
      <c r="AA15" s="13">
        <f>SUMIFS(Raw_Data!$G:$G,Raw_Data!$C:$C,$U15,Raw_Data!$K:$K,2026,Raw_Data!$M:$M,"LCL",Raw_Data!$L:$L,"EXPO",Raw_Data!$D:$D,AA$14)</f>
        <v>1</v>
      </c>
      <c r="AB15" s="13">
        <f>SUMIFS(Raw_Data!$G:$G,Raw_Data!$C:$C,$U15,Raw_Data!$K:$K,2026,Raw_Data!$M:$M,"LCL",Raw_Data!$L:$L,"EXPO",Raw_Data!$D:$D,AB$14)</f>
        <v>23</v>
      </c>
      <c r="AC15" s="13">
        <f>SUMIFS(Raw_Data!$G:$G,Raw_Data!$C:$C,$U15,Raw_Data!$K:$K,2026,Raw_Data!$M:$M,"LCL",Raw_Data!$L:$L,"EXPO",Raw_Data!$D:$D,AC$14)</f>
        <v>0</v>
      </c>
    </row>
    <row r="16" spans="1:29" x14ac:dyDescent="0.25">
      <c r="A16">
        <v>16</v>
      </c>
      <c r="B16" s="14">
        <f>SUMIFS(Raw_Data!$G:$G,Raw_Data!$C:$C,$A16,Raw_Data!$K:$K,2026,Raw_Data!$M:$M,"LCL",Raw_Data!$L:$L,"IMPO",Raw_Data!$F:$F,"COLOADER")</f>
        <v>77</v>
      </c>
      <c r="C16" s="14">
        <f>SUMIFS(Raw_Data!$G:$G,Raw_Data!$C:$C,$A16,Raw_Data!$K:$K,2026,Raw_Data!$M:$M,"LCL",Raw_Data!$L:$L,"IMPO",Raw_Data!$F:$F,"CONSOLIDADA")</f>
        <v>129</v>
      </c>
      <c r="F16">
        <v>16</v>
      </c>
      <c r="G16" s="14">
        <f>SUMIFS(Raw_Data!$G:$G,Raw_Data!$C:$C,$F16,Raw_Data!$K:$K,2026,Raw_Data!$M:$M,"LCL",Raw_Data!$L:$L,"EXPO",Raw_Data!$F:$F,"COLOADER")</f>
        <v>61</v>
      </c>
      <c r="H16" s="14">
        <f>SUMIFS(Raw_Data!$G:$G,Raw_Data!$C:$C,$F16,Raw_Data!$K:$K,2026,Raw_Data!$M:$M,"LCL",Raw_Data!$L:$L,"EXPO",Raw_Data!$F:$F,"CONSOLIDADA")</f>
        <v>58</v>
      </c>
      <c r="K16">
        <v>16</v>
      </c>
      <c r="L16" s="13">
        <f>SUMIFS(Raw_Data!$J:$J,Raw_Data!$C:$C,$K16,Raw_Data!$K:$K,2026,Raw_Data!$M:$M,"LCL",Raw_Data!$L:$L,"EXPO",Raw_Data!$D:$D,L$14)</f>
        <v>129.70600000000002</v>
      </c>
      <c r="M16" s="13">
        <f>SUMIFS(Raw_Data!$J:$J,Raw_Data!$C:$C,$K16,Raw_Data!$K:$K,2026,Raw_Data!$M:$M,"LCL",Raw_Data!$L:$L,"EXPO",Raw_Data!$D:$D,M$14)</f>
        <v>10.337999999999999</v>
      </c>
      <c r="N16" s="13">
        <f>SUMIFS(Raw_Data!$J:$J,Raw_Data!$C:$C,$K16,Raw_Data!$K:$K,2026,Raw_Data!$M:$M,"LCL",Raw_Data!$L:$L,"EXPO",Raw_Data!$D:$D,N$14)</f>
        <v>1.0940000000000001</v>
      </c>
      <c r="O16" s="13">
        <f>SUMIFS(Raw_Data!$J:$J,Raw_Data!$C:$C,$K16,Raw_Data!$K:$K,2026,Raw_Data!$M:$M,"LCL",Raw_Data!$L:$L,"EXPO",Raw_Data!$D:$D,O$14)</f>
        <v>0</v>
      </c>
      <c r="P16" s="13">
        <f>SUMIFS(Raw_Data!$J:$J,Raw_Data!$C:$C,$K16,Raw_Data!$K:$K,2026,Raw_Data!$M:$M,"LCL",Raw_Data!$L:$L,"EXPO",Raw_Data!$D:$D,P$14)</f>
        <v>75.245000000000005</v>
      </c>
      <c r="Q16" s="13">
        <f>SUMIFS(Raw_Data!$J:$J,Raw_Data!$C:$C,$K16,Raw_Data!$K:$K,2026,Raw_Data!$M:$M,"LCL",Raw_Data!$L:$L,"EXPO",Raw_Data!$D:$D,Q$14)</f>
        <v>3.5579999999999998</v>
      </c>
      <c r="R16" s="13">
        <f>SUMIFS(Raw_Data!$J:$J,Raw_Data!$C:$C,$K16,Raw_Data!$K:$K,2026,Raw_Data!$M:$M,"LCL",Raw_Data!$L:$L,"EXPO",Raw_Data!$D:$D,R$14)</f>
        <v>96.719000000000008</v>
      </c>
      <c r="S16" s="13">
        <f>SUMIFS(Raw_Data!$J:$J,Raw_Data!$C:$C,$K16,Raw_Data!$K:$K,2026,Raw_Data!$M:$M,"LCL",Raw_Data!$L:$L,"EXPO",Raw_Data!$D:$D,S$14)</f>
        <v>0</v>
      </c>
      <c r="U16">
        <v>16</v>
      </c>
      <c r="V16" s="13">
        <f>SUMIFS(Raw_Data!$G:$G,Raw_Data!$C:$C,$U16,Raw_Data!$K:$K,2026,Raw_Data!$M:$M,"LCL",Raw_Data!$L:$L,"EXPO",Raw_Data!$D:$D,V$14)</f>
        <v>54</v>
      </c>
      <c r="W16" s="13">
        <f>SUMIFS(Raw_Data!$G:$G,Raw_Data!$C:$C,$U16,Raw_Data!$K:$K,2026,Raw_Data!$M:$M,"LCL",Raw_Data!$L:$L,"EXPO",Raw_Data!$D:$D,W$14)</f>
        <v>6</v>
      </c>
      <c r="X16" s="13">
        <f>SUMIFS(Raw_Data!$G:$G,Raw_Data!$C:$C,$U16,Raw_Data!$K:$K,2026,Raw_Data!$M:$M,"LCL",Raw_Data!$L:$L,"EXPO",Raw_Data!$D:$D,X$14)</f>
        <v>1</v>
      </c>
      <c r="Y16" s="13">
        <f>SUMIFS(Raw_Data!$G:$G,Raw_Data!$C:$C,$U16,Raw_Data!$K:$K,2026,Raw_Data!$M:$M,"LCL",Raw_Data!$L:$L,"EXPO",Raw_Data!$D:$D,Y$14)</f>
        <v>0</v>
      </c>
      <c r="Z16" s="13">
        <f>SUMIFS(Raw_Data!$G:$G,Raw_Data!$C:$C,$U16,Raw_Data!$K:$K,2026,Raw_Data!$M:$M,"LCL",Raw_Data!$L:$L,"EXPO",Raw_Data!$D:$D,Z$14)</f>
        <v>21</v>
      </c>
      <c r="AA16" s="13">
        <f>SUMIFS(Raw_Data!$G:$G,Raw_Data!$C:$C,$U16,Raw_Data!$K:$K,2026,Raw_Data!$M:$M,"LCL",Raw_Data!$L:$L,"EXPO",Raw_Data!$D:$D,AA$14)</f>
        <v>4</v>
      </c>
      <c r="AB16" s="13">
        <f>SUMIFS(Raw_Data!$G:$G,Raw_Data!$C:$C,$U16,Raw_Data!$K:$K,2026,Raw_Data!$M:$M,"LCL",Raw_Data!$L:$L,"EXPO",Raw_Data!$D:$D,AB$14)</f>
        <v>33</v>
      </c>
      <c r="AC16" s="13">
        <f>SUMIFS(Raw_Data!$G:$G,Raw_Data!$C:$C,$U16,Raw_Data!$K:$K,2026,Raw_Data!$M:$M,"LCL",Raw_Data!$L:$L,"EXPO",Raw_Data!$D:$D,AC$14)</f>
        <v>0</v>
      </c>
    </row>
    <row r="17" spans="1:29" x14ac:dyDescent="0.25">
      <c r="A17" s="13">
        <v>17</v>
      </c>
      <c r="B17" s="14">
        <f>SUMIFS(Raw_Data!$G:$G,Raw_Data!$C:$C,$A17,Raw_Data!$K:$K,2026,Raw_Data!$M:$M,"LCL",Raw_Data!$L:$L,"IMPO",Raw_Data!$F:$F,"COLOADER")</f>
        <v>102</v>
      </c>
      <c r="C17" s="14">
        <f>SUMIFS(Raw_Data!$G:$G,Raw_Data!$C:$C,$A17,Raw_Data!$K:$K,2026,Raw_Data!$M:$M,"LCL",Raw_Data!$L:$L,"IMPO",Raw_Data!$F:$F,"CONSOLIDADA")</f>
        <v>83</v>
      </c>
      <c r="F17" s="13">
        <v>17</v>
      </c>
      <c r="G17" s="14">
        <f>SUMIFS(Raw_Data!$G:$G,Raw_Data!$C:$C,$F17,Raw_Data!$K:$K,2026,Raw_Data!$M:$M,"LCL",Raw_Data!$L:$L,"EXPO",Raw_Data!$F:$F,"COLOADER")</f>
        <v>48</v>
      </c>
      <c r="H17" s="14">
        <f>SUMIFS(Raw_Data!$G:$G,Raw_Data!$C:$C,$F17,Raw_Data!$K:$K,2026,Raw_Data!$M:$M,"LCL",Raw_Data!$L:$L,"EXPO",Raw_Data!$F:$F,"CONSOLIDADA")</f>
        <v>60</v>
      </c>
      <c r="K17" s="13">
        <v>17</v>
      </c>
      <c r="L17" s="13">
        <f>SUMIFS(Raw_Data!$J:$J,Raw_Data!$C:$C,$K17,Raw_Data!$K:$K,2026,Raw_Data!$M:$M,"LCL",Raw_Data!$L:$L,"EXPO",Raw_Data!$D:$D,L$14)</f>
        <v>197.72799999999987</v>
      </c>
      <c r="M17" s="13">
        <f>SUMIFS(Raw_Data!$J:$J,Raw_Data!$C:$C,$K17,Raw_Data!$K:$K,2026,Raw_Data!$M:$M,"LCL",Raw_Data!$L:$L,"EXPO",Raw_Data!$D:$D,M$14)</f>
        <v>15.18</v>
      </c>
      <c r="N17" s="13">
        <f>SUMIFS(Raw_Data!$J:$J,Raw_Data!$C:$C,$K17,Raw_Data!$K:$K,2026,Raw_Data!$M:$M,"LCL",Raw_Data!$L:$L,"EXPO",Raw_Data!$D:$D,N$14)</f>
        <v>0</v>
      </c>
      <c r="O17" s="13">
        <f>SUMIFS(Raw_Data!$J:$J,Raw_Data!$C:$C,$K17,Raw_Data!$K:$K,2026,Raw_Data!$M:$M,"LCL",Raw_Data!$L:$L,"EXPO",Raw_Data!$D:$D,O$14)</f>
        <v>0</v>
      </c>
      <c r="P17" s="13">
        <f>SUMIFS(Raw_Data!$J:$J,Raw_Data!$C:$C,$K17,Raw_Data!$K:$K,2026,Raw_Data!$M:$M,"LCL",Raw_Data!$L:$L,"EXPO",Raw_Data!$D:$D,P$14)</f>
        <v>70.185000000000002</v>
      </c>
      <c r="Q17" s="13">
        <f>SUMIFS(Raw_Data!$J:$J,Raw_Data!$C:$C,$K17,Raw_Data!$K:$K,2026,Raw_Data!$M:$M,"LCL",Raw_Data!$L:$L,"EXPO",Raw_Data!$D:$D,Q$14)</f>
        <v>0</v>
      </c>
      <c r="R17" s="13">
        <f>SUMIFS(Raw_Data!$J:$J,Raw_Data!$C:$C,$K17,Raw_Data!$K:$K,2026,Raw_Data!$M:$M,"LCL",Raw_Data!$L:$L,"EXPO",Raw_Data!$D:$D,R$14)</f>
        <v>117.51900000000001</v>
      </c>
      <c r="S17" s="13">
        <f>SUMIFS(Raw_Data!$J:$J,Raw_Data!$C:$C,$K17,Raw_Data!$K:$K,2026,Raw_Data!$M:$M,"LCL",Raw_Data!$L:$L,"EXPO",Raw_Data!$D:$D,S$14)</f>
        <v>0</v>
      </c>
      <c r="U17" s="13">
        <v>17</v>
      </c>
      <c r="V17" s="13">
        <f>SUMIFS(Raw_Data!$G:$G,Raw_Data!$C:$C,$U17,Raw_Data!$K:$K,2026,Raw_Data!$M:$M,"LCL",Raw_Data!$L:$L,"EXPO",Raw_Data!$D:$D,V$14)</f>
        <v>70</v>
      </c>
      <c r="W17" s="13">
        <f>SUMIFS(Raw_Data!$G:$G,Raw_Data!$C:$C,$U17,Raw_Data!$K:$K,2026,Raw_Data!$M:$M,"LCL",Raw_Data!$L:$L,"EXPO",Raw_Data!$D:$D,W$14)</f>
        <v>4</v>
      </c>
      <c r="X17" s="13">
        <f>SUMIFS(Raw_Data!$G:$G,Raw_Data!$C:$C,$U17,Raw_Data!$K:$K,2026,Raw_Data!$M:$M,"LCL",Raw_Data!$L:$L,"EXPO",Raw_Data!$D:$D,X$14)</f>
        <v>0</v>
      </c>
      <c r="Y17" s="13">
        <f>SUMIFS(Raw_Data!$G:$G,Raw_Data!$C:$C,$U17,Raw_Data!$K:$K,2026,Raw_Data!$M:$M,"LCL",Raw_Data!$L:$L,"EXPO",Raw_Data!$D:$D,Y$14)</f>
        <v>0</v>
      </c>
      <c r="Z17" s="13">
        <f>SUMIFS(Raw_Data!$G:$G,Raw_Data!$C:$C,$U17,Raw_Data!$K:$K,2026,Raw_Data!$M:$M,"LCL",Raw_Data!$L:$L,"EXPO",Raw_Data!$D:$D,Z$14)</f>
        <v>13</v>
      </c>
      <c r="AA17" s="13">
        <f>SUMIFS(Raw_Data!$G:$G,Raw_Data!$C:$C,$U17,Raw_Data!$K:$K,2026,Raw_Data!$M:$M,"LCL",Raw_Data!$L:$L,"EXPO",Raw_Data!$D:$D,AA$14)</f>
        <v>0</v>
      </c>
      <c r="AB17" s="13">
        <f>SUMIFS(Raw_Data!$G:$G,Raw_Data!$C:$C,$U17,Raw_Data!$K:$K,2026,Raw_Data!$M:$M,"LCL",Raw_Data!$L:$L,"EXPO",Raw_Data!$D:$D,AB$14)</f>
        <v>20</v>
      </c>
      <c r="AC17" s="13">
        <f>SUMIFS(Raw_Data!$G:$G,Raw_Data!$C:$C,$U17,Raw_Data!$K:$K,2026,Raw_Data!$M:$M,"LCL",Raw_Data!$L:$L,"EXPO",Raw_Data!$D:$D,AC$14)</f>
        <v>0</v>
      </c>
    </row>
    <row r="18" spans="1:29" x14ac:dyDescent="0.25">
      <c r="A18" s="13">
        <v>18</v>
      </c>
      <c r="B18" s="14">
        <f>SUMIFS(Raw_Data!$G:$G,Raw_Data!$C:$C,$A18,Raw_Data!$K:$K,2026,Raw_Data!$M:$M,"LCL",Raw_Data!$L:$L,"IMPO",Raw_Data!$F:$F,"COLOADER")</f>
        <v>113</v>
      </c>
      <c r="C18" s="14">
        <f>SUMIFS(Raw_Data!$G:$G,Raw_Data!$C:$C,$A18,Raw_Data!$K:$K,2026,Raw_Data!$M:$M,"LCL",Raw_Data!$L:$L,"IMPO",Raw_Data!$F:$F,"CONSOLIDADA")</f>
        <v>214</v>
      </c>
      <c r="F18" s="13">
        <v>18</v>
      </c>
      <c r="G18" s="14">
        <f>SUMIFS(Raw_Data!$G:$G,Raw_Data!$C:$C,$F18,Raw_Data!$K:$K,2026,Raw_Data!$M:$M,"LCL",Raw_Data!$L:$L,"EXPO",Raw_Data!$F:$F,"COLOADER")</f>
        <v>40</v>
      </c>
      <c r="H18" s="14">
        <f>SUMIFS(Raw_Data!$G:$G,Raw_Data!$C:$C,$F18,Raw_Data!$K:$K,2026,Raw_Data!$M:$M,"LCL",Raw_Data!$L:$L,"EXPO",Raw_Data!$F:$F,"CONSOLIDADA")</f>
        <v>52</v>
      </c>
      <c r="K18" s="13">
        <v>18</v>
      </c>
      <c r="L18" s="13">
        <f>SUMIFS(Raw_Data!$J:$J,Raw_Data!$C:$C,$K18,Raw_Data!$K:$K,2026,Raw_Data!$M:$M,"LCL",Raw_Data!$L:$L,"EXPO",Raw_Data!$D:$D,L$14)</f>
        <v>134.27400000000003</v>
      </c>
      <c r="M18" s="13">
        <f>SUMIFS(Raw_Data!$J:$J,Raw_Data!$C:$C,$K18,Raw_Data!$K:$K,2026,Raw_Data!$M:$M,"LCL",Raw_Data!$L:$L,"EXPO",Raw_Data!$D:$D,M$14)</f>
        <v>8.1359999999999992</v>
      </c>
      <c r="N18" s="13">
        <f>SUMIFS(Raw_Data!$J:$J,Raw_Data!$C:$C,$K18,Raw_Data!$K:$K,2026,Raw_Data!$M:$M,"LCL",Raw_Data!$L:$L,"EXPO",Raw_Data!$D:$D,N$14)</f>
        <v>11.865</v>
      </c>
      <c r="O18" s="13">
        <f>SUMIFS(Raw_Data!$J:$J,Raw_Data!$C:$C,$K18,Raw_Data!$K:$K,2026,Raw_Data!$M:$M,"LCL",Raw_Data!$L:$L,"EXPO",Raw_Data!$D:$D,O$14)</f>
        <v>0.70099999999999996</v>
      </c>
      <c r="P18" s="13">
        <f>SUMIFS(Raw_Data!$J:$J,Raw_Data!$C:$C,$K18,Raw_Data!$K:$K,2026,Raw_Data!$M:$M,"LCL",Raw_Data!$L:$L,"EXPO",Raw_Data!$D:$D,P$14)</f>
        <v>24.634999999999998</v>
      </c>
      <c r="Q18" s="13">
        <f>SUMIFS(Raw_Data!$J:$J,Raw_Data!$C:$C,$K18,Raw_Data!$K:$K,2026,Raw_Data!$M:$M,"LCL",Raw_Data!$L:$L,"EXPO",Raw_Data!$D:$D,Q$14)</f>
        <v>13.064000000000002</v>
      </c>
      <c r="R18" s="13">
        <f>SUMIFS(Raw_Data!$J:$J,Raw_Data!$C:$C,$K18,Raw_Data!$K:$K,2026,Raw_Data!$M:$M,"LCL",Raw_Data!$L:$L,"EXPO",Raw_Data!$D:$D,R$14)</f>
        <v>65.400999999999996</v>
      </c>
      <c r="S18" s="13">
        <f>SUMIFS(Raw_Data!$J:$J,Raw_Data!$C:$C,$K18,Raw_Data!$K:$K,2026,Raw_Data!$M:$M,"LCL",Raw_Data!$L:$L,"EXPO",Raw_Data!$D:$D,S$14)</f>
        <v>0</v>
      </c>
      <c r="U18" s="13">
        <v>18</v>
      </c>
      <c r="V18" s="13">
        <f>SUMIFS(Raw_Data!$G:$G,Raw_Data!$C:$C,$U18,Raw_Data!$K:$K,2026,Raw_Data!$M:$M,"LCL",Raw_Data!$L:$L,"EXPO",Raw_Data!$D:$D,V$14)</f>
        <v>62</v>
      </c>
      <c r="W18" s="13">
        <f>SUMIFS(Raw_Data!$G:$G,Raw_Data!$C:$C,$U18,Raw_Data!$K:$K,2026,Raw_Data!$M:$M,"LCL",Raw_Data!$L:$L,"EXPO",Raw_Data!$D:$D,W$14)</f>
        <v>4</v>
      </c>
      <c r="X18" s="13">
        <f>SUMIFS(Raw_Data!$G:$G,Raw_Data!$C:$C,$U18,Raw_Data!$K:$K,2026,Raw_Data!$M:$M,"LCL",Raw_Data!$L:$L,"EXPO",Raw_Data!$D:$D,X$14)</f>
        <v>4</v>
      </c>
      <c r="Y18" s="13">
        <f>SUMIFS(Raw_Data!$G:$G,Raw_Data!$C:$C,$U18,Raw_Data!$K:$K,2026,Raw_Data!$M:$M,"LCL",Raw_Data!$L:$L,"EXPO",Raw_Data!$D:$D,Y$14)</f>
        <v>1</v>
      </c>
      <c r="Z18" s="13">
        <f>SUMIFS(Raw_Data!$G:$G,Raw_Data!$C:$C,$U18,Raw_Data!$K:$K,2026,Raw_Data!$M:$M,"LCL",Raw_Data!$L:$L,"EXPO",Raw_Data!$D:$D,Z$14)</f>
        <v>6</v>
      </c>
      <c r="AA18" s="13">
        <f>SUMIFS(Raw_Data!$G:$G,Raw_Data!$C:$C,$U18,Raw_Data!$K:$K,2026,Raw_Data!$M:$M,"LCL",Raw_Data!$L:$L,"EXPO",Raw_Data!$D:$D,AA$14)</f>
        <v>3</v>
      </c>
      <c r="AB18" s="13">
        <f>SUMIFS(Raw_Data!$G:$G,Raw_Data!$C:$C,$U18,Raw_Data!$K:$K,2026,Raw_Data!$M:$M,"LCL",Raw_Data!$L:$L,"EXPO",Raw_Data!$D:$D,AB$14)</f>
        <v>12</v>
      </c>
      <c r="AC18" s="13">
        <f>SUMIFS(Raw_Data!$G:$G,Raw_Data!$C:$C,$U18,Raw_Data!$K:$K,2026,Raw_Data!$M:$M,"LCL",Raw_Data!$L:$L,"EXPO",Raw_Data!$D:$D,AC$14)</f>
        <v>0</v>
      </c>
    </row>
    <row r="19" spans="1:29" x14ac:dyDescent="0.25">
      <c r="A19" s="13">
        <v>19</v>
      </c>
      <c r="B19" s="14">
        <f>SUMIFS(Raw_Data!$G:$G,Raw_Data!$C:$C,$A19,Raw_Data!$K:$K,2026,Raw_Data!$M:$M,"LCL",Raw_Data!$L:$L,"IMPO",Raw_Data!$F:$F,"COLOADER")</f>
        <v>95</v>
      </c>
      <c r="C19" s="14">
        <f>SUMIFS(Raw_Data!$G:$G,Raw_Data!$C:$C,$A19,Raw_Data!$K:$K,2026,Raw_Data!$M:$M,"LCL",Raw_Data!$L:$L,"IMPO",Raw_Data!$F:$F,"CONSOLIDADA")</f>
        <v>122</v>
      </c>
      <c r="F19" s="13">
        <v>19</v>
      </c>
      <c r="G19" s="14">
        <f>SUMIFS(Raw_Data!$G:$G,Raw_Data!$C:$C,$F19,Raw_Data!$K:$K,2026,Raw_Data!$M:$M,"LCL",Raw_Data!$L:$L,"EXPO",Raw_Data!$F:$F,"COLOADER")</f>
        <v>36</v>
      </c>
      <c r="H19" s="14">
        <f>SUMIFS(Raw_Data!$G:$G,Raw_Data!$C:$C,$F19,Raw_Data!$K:$K,2026,Raw_Data!$M:$M,"LCL",Raw_Data!$L:$L,"EXPO",Raw_Data!$F:$F,"CONSOLIDADA")</f>
        <v>48</v>
      </c>
      <c r="K19" s="13">
        <v>19</v>
      </c>
      <c r="L19" s="13">
        <f>SUMIFS(Raw_Data!$J:$J,Raw_Data!$C:$C,$K19,Raw_Data!$K:$K,2026,Raw_Data!$M:$M,"LCL",Raw_Data!$L:$L,"EXPO",Raw_Data!$D:$D,L$14)</f>
        <v>92.926000000000002</v>
      </c>
      <c r="M19" s="13">
        <f>SUMIFS(Raw_Data!$J:$J,Raw_Data!$C:$C,$K19,Raw_Data!$K:$K,2026,Raw_Data!$M:$M,"LCL",Raw_Data!$L:$L,"EXPO",Raw_Data!$D:$D,M$14)</f>
        <v>1.22</v>
      </c>
      <c r="N19" s="13">
        <f>SUMIFS(Raw_Data!$J:$J,Raw_Data!$C:$C,$K19,Raw_Data!$K:$K,2026,Raw_Data!$M:$M,"LCL",Raw_Data!$L:$L,"EXPO",Raw_Data!$D:$D,N$14)</f>
        <v>4.2949999999999999</v>
      </c>
      <c r="O19" s="13">
        <f>SUMIFS(Raw_Data!$J:$J,Raw_Data!$C:$C,$K19,Raw_Data!$K:$K,2026,Raw_Data!$M:$M,"LCL",Raw_Data!$L:$L,"EXPO",Raw_Data!$D:$D,O$14)</f>
        <v>0</v>
      </c>
      <c r="P19" s="13">
        <f>SUMIFS(Raw_Data!$J:$J,Raw_Data!$C:$C,$K19,Raw_Data!$K:$K,2026,Raw_Data!$M:$M,"LCL",Raw_Data!$L:$L,"EXPO",Raw_Data!$D:$D,P$14)</f>
        <v>58.825999999999993</v>
      </c>
      <c r="Q19" s="13">
        <f>SUMIFS(Raw_Data!$J:$J,Raw_Data!$C:$C,$K19,Raw_Data!$K:$K,2026,Raw_Data!$M:$M,"LCL",Raw_Data!$L:$L,"EXPO",Raw_Data!$D:$D,Q$14)</f>
        <v>9.254999999999999</v>
      </c>
      <c r="R19" s="13">
        <f>SUMIFS(Raw_Data!$J:$J,Raw_Data!$C:$C,$K19,Raw_Data!$K:$K,2026,Raw_Data!$M:$M,"LCL",Raw_Data!$L:$L,"EXPO",Raw_Data!$D:$D,R$14)</f>
        <v>41.256999999999998</v>
      </c>
      <c r="S19" s="13">
        <f>SUMIFS(Raw_Data!$J:$J,Raw_Data!$C:$C,$K19,Raw_Data!$K:$K,2026,Raw_Data!$M:$M,"LCL",Raw_Data!$L:$L,"EXPO",Raw_Data!$D:$D,S$14)</f>
        <v>0</v>
      </c>
      <c r="U19" s="13">
        <v>19</v>
      </c>
      <c r="V19" s="13">
        <f>SUMIFS(Raw_Data!$G:$G,Raw_Data!$C:$C,$U19,Raw_Data!$K:$K,2026,Raw_Data!$M:$M,"LCL",Raw_Data!$L:$L,"EXPO",Raw_Data!$D:$D,V$14)</f>
        <v>50</v>
      </c>
      <c r="W19" s="13">
        <f>SUMIFS(Raw_Data!$G:$G,Raw_Data!$C:$C,$U19,Raw_Data!$K:$K,2026,Raw_Data!$M:$M,"LCL",Raw_Data!$L:$L,"EXPO",Raw_Data!$D:$D,W$14)</f>
        <v>1</v>
      </c>
      <c r="X19" s="13">
        <f>SUMIFS(Raw_Data!$G:$G,Raw_Data!$C:$C,$U19,Raw_Data!$K:$K,2026,Raw_Data!$M:$M,"LCL",Raw_Data!$L:$L,"EXPO",Raw_Data!$D:$D,X$14)</f>
        <v>2</v>
      </c>
      <c r="Y19" s="13">
        <f>SUMIFS(Raw_Data!$G:$G,Raw_Data!$C:$C,$U19,Raw_Data!$K:$K,2026,Raw_Data!$M:$M,"LCL",Raw_Data!$L:$L,"EXPO",Raw_Data!$D:$D,Y$14)</f>
        <v>0</v>
      </c>
      <c r="Z19" s="13">
        <f>SUMIFS(Raw_Data!$G:$G,Raw_Data!$C:$C,$U19,Raw_Data!$K:$K,2026,Raw_Data!$M:$M,"LCL",Raw_Data!$L:$L,"EXPO",Raw_Data!$D:$D,Z$14)</f>
        <v>14</v>
      </c>
      <c r="AA19" s="13">
        <f>SUMIFS(Raw_Data!$G:$G,Raw_Data!$C:$C,$U19,Raw_Data!$K:$K,2026,Raw_Data!$M:$M,"LCL",Raw_Data!$L:$L,"EXPO",Raw_Data!$D:$D,AA$14)</f>
        <v>3</v>
      </c>
      <c r="AB19" s="13">
        <f>SUMIFS(Raw_Data!$G:$G,Raw_Data!$C:$C,$U19,Raw_Data!$K:$K,2026,Raw_Data!$M:$M,"LCL",Raw_Data!$L:$L,"EXPO",Raw_Data!$D:$D,AB$14)</f>
        <v>14</v>
      </c>
      <c r="AC19" s="13">
        <f>SUMIFS(Raw_Data!$G:$G,Raw_Data!$C:$C,$U19,Raw_Data!$K:$K,2026,Raw_Data!$M:$M,"LCL",Raw_Data!$L:$L,"EXPO",Raw_Data!$D:$D,AC$14)</f>
        <v>0</v>
      </c>
    </row>
    <row r="20" spans="1:29" x14ac:dyDescent="0.25">
      <c r="A20" s="13">
        <v>20</v>
      </c>
      <c r="B20" s="14">
        <f>SUMIFS(Raw_Data!$G:$G,Raw_Data!$C:$C,$A20,Raw_Data!$K:$K,2026,Raw_Data!$M:$M,"LCL",Raw_Data!$L:$L,"IMPO",Raw_Data!$F:$F,"COLOADER")</f>
        <v>61</v>
      </c>
      <c r="C20" s="14">
        <f>SUMIFS(Raw_Data!$G:$G,Raw_Data!$C:$C,$A20,Raw_Data!$K:$K,2026,Raw_Data!$M:$M,"LCL",Raw_Data!$L:$L,"IMPO",Raw_Data!$F:$F,"CONSOLIDADA")</f>
        <v>88</v>
      </c>
      <c r="F20" s="13">
        <v>20</v>
      </c>
      <c r="G20" s="14">
        <f>SUMIFS(Raw_Data!$G:$G,Raw_Data!$C:$C,$F20,Raw_Data!$K:$K,2026,Raw_Data!$M:$M,"LCL",Raw_Data!$L:$L,"EXPO",Raw_Data!$F:$F,"COLOADER")</f>
        <v>45</v>
      </c>
      <c r="H20" s="14">
        <f>SUMIFS(Raw_Data!$G:$G,Raw_Data!$C:$C,$F20,Raw_Data!$K:$K,2026,Raw_Data!$M:$M,"LCL",Raw_Data!$L:$L,"EXPO",Raw_Data!$F:$F,"CONSOLIDADA")</f>
        <v>68</v>
      </c>
      <c r="K20" s="13">
        <v>20</v>
      </c>
      <c r="L20" s="13">
        <f>SUMIFS(Raw_Data!$J:$J,Raw_Data!$C:$C,$K20,Raw_Data!$K:$K,2026,Raw_Data!$M:$M,"LCL",Raw_Data!$L:$L,"EXPO",Raw_Data!$D:$D,L$14)</f>
        <v>258.08299999999997</v>
      </c>
      <c r="M20" s="13">
        <f>SUMIFS(Raw_Data!$J:$J,Raw_Data!$C:$C,$K20,Raw_Data!$K:$K,2026,Raw_Data!$M:$M,"LCL",Raw_Data!$L:$L,"EXPO",Raw_Data!$D:$D,M$14)</f>
        <v>0</v>
      </c>
      <c r="N20" s="13">
        <f>SUMIFS(Raw_Data!$J:$J,Raw_Data!$C:$C,$K20,Raw_Data!$K:$K,2026,Raw_Data!$M:$M,"LCL",Raw_Data!$L:$L,"EXPO",Raw_Data!$D:$D,N$14)</f>
        <v>6.0819999999999999</v>
      </c>
      <c r="O20" s="13">
        <f>SUMIFS(Raw_Data!$J:$J,Raw_Data!$C:$C,$K20,Raw_Data!$K:$K,2026,Raw_Data!$M:$M,"LCL",Raw_Data!$L:$L,"EXPO",Raw_Data!$D:$D,O$14)</f>
        <v>0</v>
      </c>
      <c r="P20" s="13">
        <f>SUMIFS(Raw_Data!$J:$J,Raw_Data!$C:$C,$K20,Raw_Data!$K:$K,2026,Raw_Data!$M:$M,"LCL",Raw_Data!$L:$L,"EXPO",Raw_Data!$D:$D,P$14)</f>
        <v>36.064999999999998</v>
      </c>
      <c r="Q20" s="13">
        <f>SUMIFS(Raw_Data!$J:$J,Raw_Data!$C:$C,$K20,Raw_Data!$K:$K,2026,Raw_Data!$M:$M,"LCL",Raw_Data!$L:$L,"EXPO",Raw_Data!$D:$D,Q$14)</f>
        <v>5.3959999999999999</v>
      </c>
      <c r="R20" s="13">
        <f>SUMIFS(Raw_Data!$J:$J,Raw_Data!$C:$C,$K20,Raw_Data!$K:$K,2026,Raw_Data!$M:$M,"LCL",Raw_Data!$L:$L,"EXPO",Raw_Data!$D:$D,R$14)</f>
        <v>75.790999999999997</v>
      </c>
      <c r="S20" s="13">
        <f>SUMIFS(Raw_Data!$J:$J,Raw_Data!$C:$C,$K20,Raw_Data!$K:$K,2026,Raw_Data!$M:$M,"LCL",Raw_Data!$L:$L,"EXPO",Raw_Data!$D:$D,S$14)</f>
        <v>0</v>
      </c>
      <c r="U20" s="13">
        <v>20</v>
      </c>
      <c r="V20" s="13">
        <f>SUMIFS(Raw_Data!$G:$G,Raw_Data!$C:$C,$U20,Raw_Data!$K:$K,2026,Raw_Data!$M:$M,"LCL",Raw_Data!$L:$L,"EXPO",Raw_Data!$D:$D,V$14)</f>
        <v>78</v>
      </c>
      <c r="W20" s="13">
        <f>SUMIFS(Raw_Data!$G:$G,Raw_Data!$C:$C,$U20,Raw_Data!$K:$K,2026,Raw_Data!$M:$M,"LCL",Raw_Data!$L:$L,"EXPO",Raw_Data!$D:$D,W$14)</f>
        <v>0</v>
      </c>
      <c r="X20" s="13">
        <f>SUMIFS(Raw_Data!$G:$G,Raw_Data!$C:$C,$U20,Raw_Data!$K:$K,2026,Raw_Data!$M:$M,"LCL",Raw_Data!$L:$L,"EXPO",Raw_Data!$D:$D,X$14)</f>
        <v>1</v>
      </c>
      <c r="Y20" s="13">
        <f>SUMIFS(Raw_Data!$G:$G,Raw_Data!$C:$C,$U20,Raw_Data!$K:$K,2026,Raw_Data!$M:$M,"LCL",Raw_Data!$L:$L,"EXPO",Raw_Data!$D:$D,Y$14)</f>
        <v>0</v>
      </c>
      <c r="Z20" s="13">
        <f>SUMIFS(Raw_Data!$G:$G,Raw_Data!$C:$C,$U20,Raw_Data!$K:$K,2026,Raw_Data!$M:$M,"LCL",Raw_Data!$L:$L,"EXPO",Raw_Data!$D:$D,Z$14)</f>
        <v>11</v>
      </c>
      <c r="AA20" s="13">
        <f>SUMIFS(Raw_Data!$G:$G,Raw_Data!$C:$C,$U20,Raw_Data!$K:$K,2026,Raw_Data!$M:$M,"LCL",Raw_Data!$L:$L,"EXPO",Raw_Data!$D:$D,AA$14)</f>
        <v>4</v>
      </c>
      <c r="AB20" s="13">
        <f>SUMIFS(Raw_Data!$G:$G,Raw_Data!$C:$C,$U20,Raw_Data!$K:$K,2026,Raw_Data!$M:$M,"LCL",Raw_Data!$L:$L,"EXPO",Raw_Data!$D:$D,AB$14)</f>
        <v>19</v>
      </c>
      <c r="AC20" s="13">
        <f>SUMIFS(Raw_Data!$G:$G,Raw_Data!$C:$C,$U20,Raw_Data!$K:$K,2026,Raw_Data!$M:$M,"LCL",Raw_Data!$L:$L,"EXPO",Raw_Data!$D:$D,AC$14)</f>
        <v>0</v>
      </c>
    </row>
    <row r="21" spans="1:29" x14ac:dyDescent="0.25">
      <c r="A21" s="13">
        <v>21</v>
      </c>
      <c r="B21" s="14">
        <f>SUMIFS(Raw_Data!$G:$G,Raw_Data!$C:$C,$A21,Raw_Data!$K:$K,2026,Raw_Data!$M:$M,"LCL",Raw_Data!$L:$L,"IMPO",Raw_Data!$F:$F,"COLOADER")</f>
        <v>0</v>
      </c>
      <c r="C21" s="14">
        <f>SUMIFS(Raw_Data!$G:$G,Raw_Data!$C:$C,$A21,Raw_Data!$K:$K,2026,Raw_Data!$M:$M,"LCL",Raw_Data!$L:$L,"IMPO",Raw_Data!$F:$F,"CONSOLIDADA")</f>
        <v>0</v>
      </c>
      <c r="F21" s="13">
        <v>21</v>
      </c>
      <c r="G21" s="14">
        <f>SUMIFS(Raw_Data!$G:$G,Raw_Data!$C:$C,$F21,Raw_Data!$K:$K,2026,Raw_Data!$M:$M,"LCL",Raw_Data!$L:$L,"EXPO",Raw_Data!$F:$F,"COLOADER")</f>
        <v>0</v>
      </c>
      <c r="H21" s="14">
        <f>SUMIFS(Raw_Data!$G:$G,Raw_Data!$C:$C,$F21,Raw_Data!$K:$K,2026,Raw_Data!$M:$M,"LCL",Raw_Data!$L:$L,"EXPO",Raw_Data!$F:$F,"CONSOLIDADA")</f>
        <v>0</v>
      </c>
      <c r="K21" s="13">
        <v>21</v>
      </c>
      <c r="L21" s="13">
        <f>SUMIFS(Raw_Data!$J:$J,Raw_Data!$C:$C,$K21,Raw_Data!$K:$K,2026,Raw_Data!$M:$M,"LCL",Raw_Data!$L:$L,"EXPO",Raw_Data!$D:$D,L$14)</f>
        <v>0</v>
      </c>
      <c r="M21" s="13">
        <f>SUMIFS(Raw_Data!$J:$J,Raw_Data!$C:$C,$K21,Raw_Data!$K:$K,2026,Raw_Data!$M:$M,"LCL",Raw_Data!$L:$L,"EXPO",Raw_Data!$D:$D,M$14)</f>
        <v>0</v>
      </c>
      <c r="N21" s="13">
        <f>SUMIFS(Raw_Data!$J:$J,Raw_Data!$C:$C,$K21,Raw_Data!$K:$K,2026,Raw_Data!$M:$M,"LCL",Raw_Data!$L:$L,"EXPO",Raw_Data!$D:$D,N$14)</f>
        <v>0</v>
      </c>
      <c r="O21" s="13">
        <f>SUMIFS(Raw_Data!$J:$J,Raw_Data!$C:$C,$K21,Raw_Data!$K:$K,2026,Raw_Data!$M:$M,"LCL",Raw_Data!$L:$L,"EXPO",Raw_Data!$D:$D,O$14)</f>
        <v>0</v>
      </c>
      <c r="P21" s="13">
        <f>SUMIFS(Raw_Data!$J:$J,Raw_Data!$C:$C,$K21,Raw_Data!$K:$K,2026,Raw_Data!$M:$M,"LCL",Raw_Data!$L:$L,"EXPO",Raw_Data!$D:$D,P$14)</f>
        <v>0</v>
      </c>
      <c r="Q21" s="13">
        <f>SUMIFS(Raw_Data!$J:$J,Raw_Data!$C:$C,$K21,Raw_Data!$K:$K,2026,Raw_Data!$M:$M,"LCL",Raw_Data!$L:$L,"EXPO",Raw_Data!$D:$D,Q$14)</f>
        <v>0</v>
      </c>
      <c r="R21" s="13">
        <f>SUMIFS(Raw_Data!$J:$J,Raw_Data!$C:$C,$K21,Raw_Data!$K:$K,2026,Raw_Data!$M:$M,"LCL",Raw_Data!$L:$L,"EXPO",Raw_Data!$D:$D,R$14)</f>
        <v>0</v>
      </c>
      <c r="S21" s="13">
        <f>SUMIFS(Raw_Data!$J:$J,Raw_Data!$C:$C,$K21,Raw_Data!$K:$K,2026,Raw_Data!$M:$M,"LCL",Raw_Data!$L:$L,"EXPO",Raw_Data!$D:$D,S$14)</f>
        <v>0</v>
      </c>
      <c r="U21" s="13">
        <v>21</v>
      </c>
      <c r="V21" s="13">
        <f>SUMIFS(Raw_Data!$G:$G,Raw_Data!$C:$C,$U21,Raw_Data!$K:$K,2026,Raw_Data!$M:$M,"LCL",Raw_Data!$L:$L,"EXPO",Raw_Data!$D:$D,V$14)</f>
        <v>0</v>
      </c>
      <c r="W21" s="13">
        <f>SUMIFS(Raw_Data!$G:$G,Raw_Data!$C:$C,$U21,Raw_Data!$K:$K,2026,Raw_Data!$M:$M,"LCL",Raw_Data!$L:$L,"EXPO",Raw_Data!$D:$D,W$14)</f>
        <v>0</v>
      </c>
      <c r="X21" s="13">
        <f>SUMIFS(Raw_Data!$G:$G,Raw_Data!$C:$C,$U21,Raw_Data!$K:$K,2026,Raw_Data!$M:$M,"LCL",Raw_Data!$L:$L,"EXPO",Raw_Data!$D:$D,X$14)</f>
        <v>0</v>
      </c>
      <c r="Y21" s="13">
        <f>SUMIFS(Raw_Data!$G:$G,Raw_Data!$C:$C,$U21,Raw_Data!$K:$K,2026,Raw_Data!$M:$M,"LCL",Raw_Data!$L:$L,"EXPO",Raw_Data!$D:$D,Y$14)</f>
        <v>0</v>
      </c>
      <c r="Z21" s="13">
        <f>SUMIFS(Raw_Data!$G:$G,Raw_Data!$C:$C,$U21,Raw_Data!$K:$K,2026,Raw_Data!$M:$M,"LCL",Raw_Data!$L:$L,"EXPO",Raw_Data!$D:$D,Z$14)</f>
        <v>0</v>
      </c>
      <c r="AA21" s="13">
        <f>SUMIFS(Raw_Data!$G:$G,Raw_Data!$C:$C,$U21,Raw_Data!$K:$K,2026,Raw_Data!$M:$M,"LCL",Raw_Data!$L:$L,"EXPO",Raw_Data!$D:$D,AA$14)</f>
        <v>0</v>
      </c>
      <c r="AB21" s="13">
        <f>SUMIFS(Raw_Data!$G:$G,Raw_Data!$C:$C,$U21,Raw_Data!$K:$K,2026,Raw_Data!$M:$M,"LCL",Raw_Data!$L:$L,"EXPO",Raw_Data!$D:$D,AB$14)</f>
        <v>0</v>
      </c>
      <c r="AC21" s="13">
        <f>SUMIFS(Raw_Data!$G:$G,Raw_Data!$C:$C,$U21,Raw_Data!$K:$K,2026,Raw_Data!$M:$M,"LCL",Raw_Data!$L:$L,"EXPO",Raw_Data!$D:$D,AC$14)</f>
        <v>0</v>
      </c>
    </row>
    <row r="22" spans="1:29" x14ac:dyDescent="0.25">
      <c r="A22" s="13">
        <v>22</v>
      </c>
      <c r="B22" s="14">
        <f>SUMIFS(Raw_Data!$G:$G,Raw_Data!$C:$C,$A22,Raw_Data!$K:$K,2026,Raw_Data!$M:$M,"LCL",Raw_Data!$L:$L,"IMPO",Raw_Data!$F:$F,"COLOADER")</f>
        <v>0</v>
      </c>
      <c r="C22" s="14">
        <f>SUMIFS(Raw_Data!$G:$G,Raw_Data!$C:$C,$A22,Raw_Data!$K:$K,2026,Raw_Data!$M:$M,"LCL",Raw_Data!$L:$L,"IMPO",Raw_Data!$F:$F,"CONSOLIDADA")</f>
        <v>0</v>
      </c>
      <c r="F22" s="13">
        <v>22</v>
      </c>
      <c r="G22" s="14">
        <f>SUMIFS(Raw_Data!$G:$G,Raw_Data!$C:$C,$F22,Raw_Data!$K:$K,2026,Raw_Data!$M:$M,"LCL",Raw_Data!$L:$L,"EXPO",Raw_Data!$F:$F,"COLOADER")</f>
        <v>0</v>
      </c>
      <c r="H22" s="14">
        <f>SUMIFS(Raw_Data!$G:$G,Raw_Data!$C:$C,$F22,Raw_Data!$K:$K,2026,Raw_Data!$M:$M,"LCL",Raw_Data!$L:$L,"EXPO",Raw_Data!$F:$F,"CONSOLIDADA")</f>
        <v>0</v>
      </c>
      <c r="K22" s="13">
        <v>22</v>
      </c>
      <c r="L22" s="13">
        <f>SUMIFS(Raw_Data!$J:$J,Raw_Data!$C:$C,$K22,Raw_Data!$K:$K,2026,Raw_Data!$M:$M,"LCL",Raw_Data!$L:$L,"EXPO",Raw_Data!$D:$D,L$14)</f>
        <v>0</v>
      </c>
      <c r="M22" s="13">
        <f>SUMIFS(Raw_Data!$J:$J,Raw_Data!$C:$C,$K22,Raw_Data!$K:$K,2026,Raw_Data!$M:$M,"LCL",Raw_Data!$L:$L,"EXPO",Raw_Data!$D:$D,M$14)</f>
        <v>0</v>
      </c>
      <c r="N22" s="13">
        <f>SUMIFS(Raw_Data!$J:$J,Raw_Data!$C:$C,$K22,Raw_Data!$K:$K,2026,Raw_Data!$M:$M,"LCL",Raw_Data!$L:$L,"EXPO",Raw_Data!$D:$D,N$14)</f>
        <v>0</v>
      </c>
      <c r="O22" s="13">
        <f>SUMIFS(Raw_Data!$J:$J,Raw_Data!$C:$C,$K22,Raw_Data!$K:$K,2026,Raw_Data!$M:$M,"LCL",Raw_Data!$L:$L,"EXPO",Raw_Data!$D:$D,O$14)</f>
        <v>0</v>
      </c>
      <c r="P22" s="13">
        <f>SUMIFS(Raw_Data!$J:$J,Raw_Data!$C:$C,$K22,Raw_Data!$K:$K,2026,Raw_Data!$M:$M,"LCL",Raw_Data!$L:$L,"EXPO",Raw_Data!$D:$D,P$14)</f>
        <v>0</v>
      </c>
      <c r="Q22" s="13">
        <f>SUMIFS(Raw_Data!$J:$J,Raw_Data!$C:$C,$K22,Raw_Data!$K:$K,2026,Raw_Data!$M:$M,"LCL",Raw_Data!$L:$L,"EXPO",Raw_Data!$D:$D,Q$14)</f>
        <v>0</v>
      </c>
      <c r="R22" s="13">
        <f>SUMIFS(Raw_Data!$J:$J,Raw_Data!$C:$C,$K22,Raw_Data!$K:$K,2026,Raw_Data!$M:$M,"LCL",Raw_Data!$L:$L,"EXPO",Raw_Data!$D:$D,R$14)</f>
        <v>0</v>
      </c>
      <c r="S22" s="13">
        <f>SUMIFS(Raw_Data!$J:$J,Raw_Data!$C:$C,$K22,Raw_Data!$K:$K,2026,Raw_Data!$M:$M,"LCL",Raw_Data!$L:$L,"EXPO",Raw_Data!$D:$D,S$14)</f>
        <v>0</v>
      </c>
      <c r="U22" s="13">
        <v>22</v>
      </c>
      <c r="V22" s="13">
        <f>SUMIFS(Raw_Data!$G:$G,Raw_Data!$C:$C,$U22,Raw_Data!$K:$K,2026,Raw_Data!$M:$M,"LCL",Raw_Data!$L:$L,"EXPO",Raw_Data!$D:$D,V$14)</f>
        <v>0</v>
      </c>
      <c r="W22" s="13">
        <f>SUMIFS(Raw_Data!$G:$G,Raw_Data!$C:$C,$U22,Raw_Data!$K:$K,2026,Raw_Data!$M:$M,"LCL",Raw_Data!$L:$L,"EXPO",Raw_Data!$D:$D,W$14)</f>
        <v>0</v>
      </c>
      <c r="X22" s="13">
        <f>SUMIFS(Raw_Data!$G:$G,Raw_Data!$C:$C,$U22,Raw_Data!$K:$K,2026,Raw_Data!$M:$M,"LCL",Raw_Data!$L:$L,"EXPO",Raw_Data!$D:$D,X$14)</f>
        <v>0</v>
      </c>
      <c r="Y22" s="13">
        <f>SUMIFS(Raw_Data!$G:$G,Raw_Data!$C:$C,$U22,Raw_Data!$K:$K,2026,Raw_Data!$M:$M,"LCL",Raw_Data!$L:$L,"EXPO",Raw_Data!$D:$D,Y$14)</f>
        <v>0</v>
      </c>
      <c r="Z22" s="13">
        <f>SUMIFS(Raw_Data!$G:$G,Raw_Data!$C:$C,$U22,Raw_Data!$K:$K,2026,Raw_Data!$M:$M,"LCL",Raw_Data!$L:$L,"EXPO",Raw_Data!$D:$D,Z$14)</f>
        <v>0</v>
      </c>
      <c r="AA22" s="13">
        <f>SUMIFS(Raw_Data!$G:$G,Raw_Data!$C:$C,$U22,Raw_Data!$K:$K,2026,Raw_Data!$M:$M,"LCL",Raw_Data!$L:$L,"EXPO",Raw_Data!$D:$D,AA$14)</f>
        <v>0</v>
      </c>
      <c r="AB22" s="13">
        <f>SUMIFS(Raw_Data!$G:$G,Raw_Data!$C:$C,$U22,Raw_Data!$K:$K,2026,Raw_Data!$M:$M,"LCL",Raw_Data!$L:$L,"EXPO",Raw_Data!$D:$D,AB$14)</f>
        <v>0</v>
      </c>
      <c r="AC22" s="13">
        <f>SUMIFS(Raw_Data!$G:$G,Raw_Data!$C:$C,$U22,Raw_Data!$K:$K,2026,Raw_Data!$M:$M,"LCL",Raw_Data!$L:$L,"EXPO",Raw_Data!$D:$D,AC$14)</f>
        <v>0</v>
      </c>
    </row>
    <row r="23" spans="1:29" x14ac:dyDescent="0.25">
      <c r="A23" s="13">
        <v>23</v>
      </c>
      <c r="B23" s="14">
        <f>SUMIFS(Raw_Data!$G:$G,Raw_Data!$C:$C,$A23,Raw_Data!$K:$K,2026,Raw_Data!$M:$M,"LCL",Raw_Data!$L:$L,"IMPO",Raw_Data!$F:$F,"COLOADER")</f>
        <v>0</v>
      </c>
      <c r="C23" s="14">
        <f>SUMIFS(Raw_Data!$G:$G,Raw_Data!$C:$C,$A23,Raw_Data!$K:$K,2026,Raw_Data!$M:$M,"LCL",Raw_Data!$L:$L,"IMPO",Raw_Data!$F:$F,"CONSOLIDADA")</f>
        <v>0</v>
      </c>
      <c r="F23" s="13">
        <v>23</v>
      </c>
      <c r="G23" s="14">
        <f>SUMIFS(Raw_Data!$G:$G,Raw_Data!$C:$C,$F23,Raw_Data!$K:$K,2026,Raw_Data!$M:$M,"LCL",Raw_Data!$L:$L,"EXPO",Raw_Data!$F:$F,"COLOADER")</f>
        <v>0</v>
      </c>
      <c r="H23" s="14">
        <f>SUMIFS(Raw_Data!$G:$G,Raw_Data!$C:$C,$F23,Raw_Data!$K:$K,2026,Raw_Data!$M:$M,"LCL",Raw_Data!$L:$L,"EXPO",Raw_Data!$F:$F,"CONSOLIDADA")</f>
        <v>0</v>
      </c>
      <c r="K23" s="13">
        <v>23</v>
      </c>
      <c r="L23" s="13">
        <f>SUMIFS(Raw_Data!$J:$J,Raw_Data!$C:$C,$K23,Raw_Data!$K:$K,2026,Raw_Data!$M:$M,"LCL",Raw_Data!$L:$L,"EXPO",Raw_Data!$D:$D,L$14)</f>
        <v>0</v>
      </c>
      <c r="M23" s="13">
        <f>SUMIFS(Raw_Data!$J:$J,Raw_Data!$C:$C,$K23,Raw_Data!$K:$K,2026,Raw_Data!$M:$M,"LCL",Raw_Data!$L:$L,"EXPO",Raw_Data!$D:$D,M$14)</f>
        <v>0</v>
      </c>
      <c r="N23" s="13">
        <f>SUMIFS(Raw_Data!$J:$J,Raw_Data!$C:$C,$K23,Raw_Data!$K:$K,2026,Raw_Data!$M:$M,"LCL",Raw_Data!$L:$L,"EXPO",Raw_Data!$D:$D,N$14)</f>
        <v>0</v>
      </c>
      <c r="O23" s="13">
        <f>SUMIFS(Raw_Data!$J:$J,Raw_Data!$C:$C,$K23,Raw_Data!$K:$K,2026,Raw_Data!$M:$M,"LCL",Raw_Data!$L:$L,"EXPO",Raw_Data!$D:$D,O$14)</f>
        <v>0</v>
      </c>
      <c r="P23" s="13">
        <f>SUMIFS(Raw_Data!$J:$J,Raw_Data!$C:$C,$K23,Raw_Data!$K:$K,2026,Raw_Data!$M:$M,"LCL",Raw_Data!$L:$L,"EXPO",Raw_Data!$D:$D,P$14)</f>
        <v>0</v>
      </c>
      <c r="Q23" s="13">
        <f>SUMIFS(Raw_Data!$J:$J,Raw_Data!$C:$C,$K23,Raw_Data!$K:$K,2026,Raw_Data!$M:$M,"LCL",Raw_Data!$L:$L,"EXPO",Raw_Data!$D:$D,Q$14)</f>
        <v>0</v>
      </c>
      <c r="R23" s="13">
        <f>SUMIFS(Raw_Data!$J:$J,Raw_Data!$C:$C,$K23,Raw_Data!$K:$K,2026,Raw_Data!$M:$M,"LCL",Raw_Data!$L:$L,"EXPO",Raw_Data!$D:$D,R$14)</f>
        <v>0</v>
      </c>
      <c r="S23" s="13">
        <f>SUMIFS(Raw_Data!$J:$J,Raw_Data!$C:$C,$K23,Raw_Data!$K:$K,2026,Raw_Data!$M:$M,"LCL",Raw_Data!$L:$L,"EXPO",Raw_Data!$D:$D,S$14)</f>
        <v>0</v>
      </c>
      <c r="U23" s="13">
        <v>23</v>
      </c>
      <c r="V23" s="13">
        <f>SUMIFS(Raw_Data!$G:$G,Raw_Data!$C:$C,$U23,Raw_Data!$K:$K,2026,Raw_Data!$M:$M,"LCL",Raw_Data!$L:$L,"EXPO",Raw_Data!$D:$D,V$14)</f>
        <v>0</v>
      </c>
      <c r="W23" s="13">
        <f>SUMIFS(Raw_Data!$G:$G,Raw_Data!$C:$C,$U23,Raw_Data!$K:$K,2026,Raw_Data!$M:$M,"LCL",Raw_Data!$L:$L,"EXPO",Raw_Data!$D:$D,W$14)</f>
        <v>0</v>
      </c>
      <c r="X23" s="13">
        <f>SUMIFS(Raw_Data!$G:$G,Raw_Data!$C:$C,$U23,Raw_Data!$K:$K,2026,Raw_Data!$M:$M,"LCL",Raw_Data!$L:$L,"EXPO",Raw_Data!$D:$D,X$14)</f>
        <v>0</v>
      </c>
      <c r="Y23" s="13">
        <f>SUMIFS(Raw_Data!$G:$G,Raw_Data!$C:$C,$U23,Raw_Data!$K:$K,2026,Raw_Data!$M:$M,"LCL",Raw_Data!$L:$L,"EXPO",Raw_Data!$D:$D,Y$14)</f>
        <v>0</v>
      </c>
      <c r="Z23" s="13">
        <f>SUMIFS(Raw_Data!$G:$G,Raw_Data!$C:$C,$U23,Raw_Data!$K:$K,2026,Raw_Data!$M:$M,"LCL",Raw_Data!$L:$L,"EXPO",Raw_Data!$D:$D,Z$14)</f>
        <v>0</v>
      </c>
      <c r="AA23" s="13">
        <f>SUMIFS(Raw_Data!$G:$G,Raw_Data!$C:$C,$U23,Raw_Data!$K:$K,2026,Raw_Data!$M:$M,"LCL",Raw_Data!$L:$L,"EXPO",Raw_Data!$D:$D,AA$14)</f>
        <v>0</v>
      </c>
      <c r="AB23" s="13">
        <f>SUMIFS(Raw_Data!$G:$G,Raw_Data!$C:$C,$U23,Raw_Data!$K:$K,2026,Raw_Data!$M:$M,"LCL",Raw_Data!$L:$L,"EXPO",Raw_Data!$D:$D,AB$14)</f>
        <v>0</v>
      </c>
      <c r="AC23" s="13">
        <f>SUMIFS(Raw_Data!$G:$G,Raw_Data!$C:$C,$U23,Raw_Data!$K:$K,2026,Raw_Data!$M:$M,"LCL",Raw_Data!$L:$L,"EXPO",Raw_Data!$D:$D,AC$14)</f>
        <v>0</v>
      </c>
    </row>
    <row r="24" spans="1:29" x14ac:dyDescent="0.25">
      <c r="A24" s="13">
        <v>24</v>
      </c>
      <c r="B24" s="14">
        <f>SUMIFS(Raw_Data!$G:$G,Raw_Data!$C:$C,$A24,Raw_Data!$K:$K,2026,Raw_Data!$M:$M,"LCL",Raw_Data!$L:$L,"IMPO",Raw_Data!$F:$F,"COLOADER")</f>
        <v>0</v>
      </c>
      <c r="C24" s="14">
        <f>SUMIFS(Raw_Data!$G:$G,Raw_Data!$C:$C,$A24,Raw_Data!$K:$K,2026,Raw_Data!$M:$M,"LCL",Raw_Data!$L:$L,"IMPO",Raw_Data!$F:$F,"CONSOLIDADA")</f>
        <v>0</v>
      </c>
      <c r="F24" s="13">
        <v>24</v>
      </c>
      <c r="G24" s="14">
        <f>SUMIFS(Raw_Data!$G:$G,Raw_Data!$C:$C,$F24,Raw_Data!$K:$K,2026,Raw_Data!$M:$M,"LCL",Raw_Data!$L:$L,"EXPO",Raw_Data!$F:$F,"COLOADER")</f>
        <v>0</v>
      </c>
      <c r="H24" s="14">
        <f>SUMIFS(Raw_Data!$G:$G,Raw_Data!$C:$C,$F24,Raw_Data!$K:$K,2026,Raw_Data!$M:$M,"LCL",Raw_Data!$L:$L,"EXPO",Raw_Data!$F:$F,"CONSOLIDADA")</f>
        <v>0</v>
      </c>
      <c r="K24" s="13">
        <v>24</v>
      </c>
      <c r="L24" s="13">
        <f>SUMIFS(Raw_Data!$J:$J,Raw_Data!$C:$C,$K24,Raw_Data!$K:$K,2026,Raw_Data!$M:$M,"LCL",Raw_Data!$L:$L,"EXPO",Raw_Data!$D:$D,L$14)</f>
        <v>0</v>
      </c>
      <c r="M24" s="13">
        <f>SUMIFS(Raw_Data!$J:$J,Raw_Data!$C:$C,$K24,Raw_Data!$K:$K,2026,Raw_Data!$M:$M,"LCL",Raw_Data!$L:$L,"EXPO",Raw_Data!$D:$D,M$14)</f>
        <v>0</v>
      </c>
      <c r="N24" s="13">
        <f>SUMIFS(Raw_Data!$J:$J,Raw_Data!$C:$C,$K24,Raw_Data!$K:$K,2026,Raw_Data!$M:$M,"LCL",Raw_Data!$L:$L,"EXPO",Raw_Data!$D:$D,N$14)</f>
        <v>0</v>
      </c>
      <c r="O24" s="13">
        <f>SUMIFS(Raw_Data!$J:$J,Raw_Data!$C:$C,$K24,Raw_Data!$K:$K,2026,Raw_Data!$M:$M,"LCL",Raw_Data!$L:$L,"EXPO",Raw_Data!$D:$D,O$14)</f>
        <v>0</v>
      </c>
      <c r="P24" s="13">
        <f>SUMIFS(Raw_Data!$J:$J,Raw_Data!$C:$C,$K24,Raw_Data!$K:$K,2026,Raw_Data!$M:$M,"LCL",Raw_Data!$L:$L,"EXPO",Raw_Data!$D:$D,P$14)</f>
        <v>0</v>
      </c>
      <c r="Q24" s="13">
        <f>SUMIFS(Raw_Data!$J:$J,Raw_Data!$C:$C,$K24,Raw_Data!$K:$K,2026,Raw_Data!$M:$M,"LCL",Raw_Data!$L:$L,"EXPO",Raw_Data!$D:$D,Q$14)</f>
        <v>0</v>
      </c>
      <c r="R24" s="13">
        <f>SUMIFS(Raw_Data!$J:$J,Raw_Data!$C:$C,$K24,Raw_Data!$K:$K,2026,Raw_Data!$M:$M,"LCL",Raw_Data!$L:$L,"EXPO",Raw_Data!$D:$D,R$14)</f>
        <v>0</v>
      </c>
      <c r="S24" s="13">
        <f>SUMIFS(Raw_Data!$J:$J,Raw_Data!$C:$C,$K24,Raw_Data!$K:$K,2026,Raw_Data!$M:$M,"LCL",Raw_Data!$L:$L,"EXPO",Raw_Data!$D:$D,S$14)</f>
        <v>0</v>
      </c>
      <c r="U24" s="13">
        <v>24</v>
      </c>
      <c r="V24" s="13">
        <f>SUMIFS(Raw_Data!$G:$G,Raw_Data!$C:$C,$U24,Raw_Data!$K:$K,2026,Raw_Data!$M:$M,"LCL",Raw_Data!$L:$L,"EXPO",Raw_Data!$D:$D,V$14)</f>
        <v>0</v>
      </c>
      <c r="W24" s="13">
        <f>SUMIFS(Raw_Data!$G:$G,Raw_Data!$C:$C,$U24,Raw_Data!$K:$K,2026,Raw_Data!$M:$M,"LCL",Raw_Data!$L:$L,"EXPO",Raw_Data!$D:$D,W$14)</f>
        <v>0</v>
      </c>
      <c r="X24" s="13">
        <f>SUMIFS(Raw_Data!$G:$G,Raw_Data!$C:$C,$U24,Raw_Data!$K:$K,2026,Raw_Data!$M:$M,"LCL",Raw_Data!$L:$L,"EXPO",Raw_Data!$D:$D,X$14)</f>
        <v>0</v>
      </c>
      <c r="Y24" s="13">
        <f>SUMIFS(Raw_Data!$G:$G,Raw_Data!$C:$C,$U24,Raw_Data!$K:$K,2026,Raw_Data!$M:$M,"LCL",Raw_Data!$L:$L,"EXPO",Raw_Data!$D:$D,Y$14)</f>
        <v>0</v>
      </c>
      <c r="Z24" s="13">
        <f>SUMIFS(Raw_Data!$G:$G,Raw_Data!$C:$C,$U24,Raw_Data!$K:$K,2026,Raw_Data!$M:$M,"LCL",Raw_Data!$L:$L,"EXPO",Raw_Data!$D:$D,Z$14)</f>
        <v>0</v>
      </c>
      <c r="AA24" s="13">
        <f>SUMIFS(Raw_Data!$G:$G,Raw_Data!$C:$C,$U24,Raw_Data!$K:$K,2026,Raw_Data!$M:$M,"LCL",Raw_Data!$L:$L,"EXPO",Raw_Data!$D:$D,AA$14)</f>
        <v>0</v>
      </c>
      <c r="AB24" s="13">
        <f>SUMIFS(Raw_Data!$G:$G,Raw_Data!$C:$C,$U24,Raw_Data!$K:$K,2026,Raw_Data!$M:$M,"LCL",Raw_Data!$L:$L,"EXPO",Raw_Data!$D:$D,AB$14)</f>
        <v>0</v>
      </c>
      <c r="AC24" s="13">
        <f>SUMIFS(Raw_Data!$G:$G,Raw_Data!$C:$C,$U24,Raw_Data!$K:$K,2026,Raw_Data!$M:$M,"LCL",Raw_Data!$L:$L,"EXPO",Raw_Data!$D:$D,AC$14)</f>
        <v>0</v>
      </c>
    </row>
  </sheetData>
  <mergeCells count="2">
    <mergeCell ref="A1:C1"/>
    <mergeCell ref="F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57BBE97B5164BB4FE0B86ABAE5793" ma:contentTypeVersion="3" ma:contentTypeDescription="Create a new document." ma:contentTypeScope="" ma:versionID="89e5ea98e82cc5428f0bdc3595a22c4b">
  <xsd:schema xmlns:xsd="http://www.w3.org/2001/XMLSchema" xmlns:xs="http://www.w3.org/2001/XMLSchema" xmlns:p="http://schemas.microsoft.com/office/2006/metadata/properties" xmlns:ns2="ce41dabf-3647-4599-a6fc-fc1add6fc1f3" targetNamespace="http://schemas.microsoft.com/office/2006/metadata/properties" ma:root="true" ma:fieldsID="16b7d5c949020c853dc6aae74b443a91" ns2:_="">
    <xsd:import namespace="ce41dabf-3647-4599-a6fc-fc1add6fc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1dabf-3647-4599-a6fc-fc1add6fc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88E65-928B-4144-983A-EF35627D0B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985B19-E2D6-4BDA-B228-0A6CC0A12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41dabf-3647-4599-a6fc-fc1add6fc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3E2E07-5EF8-4B28-A617-682DDEDA1103}">
  <ds:schemaRefs>
    <ds:schemaRef ds:uri="http://schemas.microsoft.com/office/2006/documentManagement/types"/>
    <ds:schemaRef ds:uri="http://schemas.microsoft.com/office/infopath/2007/PartnerControls"/>
    <ds:schemaRef ds:uri="ce41dabf-3647-4599-a6fc-fc1add6fc1f3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hiddenOps</vt:lpstr>
      <vt:lpstr>SEGUIR PARA PREENCHIMENTO</vt:lpstr>
      <vt:lpstr>CHART -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Victoria Silva - DSV</cp:lastModifiedBy>
  <cp:revision/>
  <dcterms:created xsi:type="dcterms:W3CDTF">2026-02-25T16:48:32Z</dcterms:created>
  <dcterms:modified xsi:type="dcterms:W3CDTF">2026-05-15T13:36:35Z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2026-02-25T16:51:31Z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8d76e0aa-799b-44b6-9b9b-95029249258d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  <property fmtid="{D5CDD505-2E9C-101B-9397-08002B2CF9AE}" pid="10" name="ContentTypeId">
    <vt:lpwstr>0x010100B7757BBE97B5164BB4FE0B86ABAE5793</vt:lpwstr>
  </property>
</Properties>
</file>